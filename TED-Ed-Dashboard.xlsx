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Pivot Tables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<sst xmlns="http://schemas.openxmlformats.org/spreadsheetml/2006/main" count="657" uniqueCount="245">
  <si>
    <t xml:space="preserve">TED-Ed Channel Performance Analysis</t>
  </si>
  <si>
    <t xml:space="preserve">Age-adjusted outlier analysis · 93 long-form videos · last 12 months · snapshot 2026-09-28</t>
  </si>
  <si>
    <t xml:space="preserve">VIDEOS ANALYZED</t>
  </si>
  <si>
    <t xml:space="preserve">OUTLIERS (≥2x band median)</t>
  </si>
  <si>
    <t xml:space="preserve">UNDERPERFORMERS (≤0.5x)</t>
  </si>
  <si>
    <t xml:space="preserve">TOP CATEGORY (MEDIAN RATIO)</t>
  </si>
  <si>
    <t xml:space="preserve">Title</t>
  </si>
  <si>
    <t xml:space="preserve">Upload date</t>
  </si>
  <si>
    <t xml:space="preserve">Views</t>
  </si>
  <si>
    <t xml:space="preserve">Duration (sec)</t>
  </si>
  <si>
    <t xml:space="preserve">URL</t>
  </si>
  <si>
    <t xml:space="preserve">Date collected</t>
  </si>
  <si>
    <t xml:space="preserve">Is Short</t>
  </si>
  <si>
    <t xml:space="preserve">Age in days</t>
  </si>
  <si>
    <t xml:space="preserve">Views per day</t>
  </si>
  <si>
    <t xml:space="preserve">Age-band median</t>
  </si>
  <si>
    <t xml:space="preserve">Band median views</t>
  </si>
  <si>
    <t xml:space="preserve">Performance ratio</t>
  </si>
  <si>
    <t xml:space="preserve">Flag</t>
  </si>
  <si>
    <t xml:space="preserve">Title structure</t>
  </si>
  <si>
    <t xml:space="preserve">Topic category</t>
  </si>
  <si>
    <t xml:space="preserve">Everyday relevance</t>
  </si>
  <si>
    <t xml:space="preserve">Is series (Think Like a Musician)</t>
  </si>
  <si>
    <t xml:space="preserve">Why magnets stumped scientists for so long - Rachel Yang</t>
  </si>
  <si>
    <t xml:space="preserve">https://www.youtube.com/watch?v=jG7ULeWUfDw</t>
  </si>
  <si>
    <t xml:space="preserve">0-30</t>
  </si>
  <si>
    <t xml:space="preserve">Underperformer</t>
  </si>
  <si>
    <t xml:space="preserve">Statement</t>
  </si>
  <si>
    <t xml:space="preserve">Science</t>
  </si>
  <si>
    <t xml:space="preserve">No</t>
  </si>
  <si>
    <t xml:space="preserve">4 ways to fix your attention span - Shannon Odell</t>
  </si>
  <si>
    <t xml:space="preserve">https://www.youtube.com/watch?v=N2uQWfV6Jr4</t>
  </si>
  <si>
    <t xml:space="preserve">Outlier</t>
  </si>
  <si>
    <t xml:space="preserve">List</t>
  </si>
  <si>
    <t xml:space="preserve">Health/Psychology</t>
  </si>
  <si>
    <t xml:space="preserve">Yes</t>
  </si>
  <si>
    <t xml:space="preserve">Everything you need to know about bird flu - Benjamin Anderson</t>
  </si>
  <si>
    <t xml:space="preserve">https://www.youtube.com/watch?v=bHB5iiDDJ-s</t>
  </si>
  <si>
    <t xml:space="preserve">How to explain something complicated</t>
  </si>
  <si>
    <t xml:space="preserve">https://www.youtube.com/watch?v=EMbZ72cCAzI</t>
  </si>
  <si>
    <t xml:space="preserve">Society</t>
  </si>
  <si>
    <t xml:space="preserve">Why do some people have a better sense of direction than others? - Oliver Baumann</t>
  </si>
  <si>
    <t xml:space="preserve">https://www.youtube.com/watch?v=I8XaYkRW1tA</t>
  </si>
  <si>
    <t xml:space="preserve">Question</t>
  </si>
  <si>
    <t xml:space="preserve">Ever walk into a room and forget what you were doing? - Gabriel Radvansky</t>
  </si>
  <si>
    <t xml:space="preserve">https://www.youtube.com/watch?v=_gP3aXvNmv8</t>
  </si>
  <si>
    <t xml:space="preserve">What are tariffs, and how do they work?</t>
  </si>
  <si>
    <t xml:space="preserve">https://www.youtube.com/watch?v=BSdEiOYvKpE</t>
  </si>
  <si>
    <t xml:space="preserve">4 ways to tell a great story</t>
  </si>
  <si>
    <t xml:space="preserve">https://www.youtube.com/watch?v=JOs-q7rXqdk</t>
  </si>
  <si>
    <t xml:space="preserve">Arts/Language</t>
  </si>
  <si>
    <t xml:space="preserve">Plato’s infamous Ship of State thought experiment - Michael Vazquez</t>
  </si>
  <si>
    <t xml:space="preserve">https://www.youtube.com/watch?v=QyRqlTV60zM</t>
  </si>
  <si>
    <t xml:space="preserve">31-90</t>
  </si>
  <si>
    <t xml:space="preserve">History/Culture</t>
  </si>
  <si>
    <t xml:space="preserve">The tragedy of Cassandra, the princess who predicted the fall of Troy - Iseult Gillespie</t>
  </si>
  <si>
    <t xml:space="preserve">https://www.youtube.com/watch?v=l29K-ZkARmE</t>
  </si>
  <si>
    <t xml:space="preserve">How do Maglev trains work? - Ning Zhao</t>
  </si>
  <si>
    <t xml:space="preserve">https://www.youtube.com/watch?v=2A1IEBFt6Xg</t>
  </si>
  <si>
    <t xml:space="preserve">The fastest way to board a plane, according to mathematics - Rachel Yang</t>
  </si>
  <si>
    <t xml:space="preserve">https://www.youtube.com/watch?v=-61qDRPG3to</t>
  </si>
  <si>
    <t xml:space="preserve">Red gold: The world's most expensive spice - Carolyn Beans</t>
  </si>
  <si>
    <t xml:space="preserve">https://www.youtube.com/watch?v=krNP8RlDsbw</t>
  </si>
  <si>
    <t xml:space="preserve">The magical forest realm hiding at the bottom of the ocean - Luka Seamus Wright and Salomé Buglass</t>
  </si>
  <si>
    <t xml:space="preserve">https://www.youtube.com/watch?v=5jPCAlE0z7I</t>
  </si>
  <si>
    <t xml:space="preserve">When did we start using passports? - Kristin Surak</t>
  </si>
  <si>
    <t xml:space="preserve">https://www.youtube.com/watch?v=JhxuP0AuRPA</t>
  </si>
  <si>
    <t xml:space="preserve">How does the space station never run out of oxygen? - Alvaro Romero-Calvo and Theo St Francis</t>
  </si>
  <si>
    <t xml:space="preserve">https://www.youtube.com/watch?v=5ljV0Vxu00M</t>
  </si>
  <si>
    <t xml:space="preserve">Psychedelics, mind control, radiation-eating: The secret superpowers of fungi - Max G. Levy</t>
  </si>
  <si>
    <t xml:space="preserve">https://www.youtube.com/watch?v=QIqKGMM8ivM</t>
  </si>
  <si>
    <t xml:space="preserve">How a broken heart affects your body</t>
  </si>
  <si>
    <t xml:space="preserve">https://www.youtube.com/watch?v=DbEZmLoGDbk</t>
  </si>
  <si>
    <t xml:space="preserve">91-180</t>
  </si>
  <si>
    <t xml:space="preserve">Why avalanches are most deadly when they stop - Simon Trautman</t>
  </si>
  <si>
    <t xml:space="preserve">https://www.youtube.com/watch?v=6hCo4S_1Fhw</t>
  </si>
  <si>
    <t xml:space="preserve">Should you rinse your dishes before placing them in the dishwasher? - Rachel Yang</t>
  </si>
  <si>
    <t xml:space="preserve">https://www.youtube.com/watch?v=FBpBUwlDId0</t>
  </si>
  <si>
    <t xml:space="preserve">How to attack (and defend) a medieval castle - Connor C. Wilson</t>
  </si>
  <si>
    <t xml:space="preserve">https://www.youtube.com/watch?v=eR5blcjll8o</t>
  </si>
  <si>
    <t xml:space="preserve">Meet the slow loris, the only venomous primate in existence - Stephanie A. Poindexter</t>
  </si>
  <si>
    <t xml:space="preserve">https://www.youtube.com/watch?v=JDqpcHGfJ2I</t>
  </si>
  <si>
    <t xml:space="preserve">What is sumo, and why is it so popular? - Lee Thompson</t>
  </si>
  <si>
    <t xml:space="preserve">https://www.youtube.com/watch?v=Q9Vt6NGBVBc</t>
  </si>
  <si>
    <t xml:space="preserve">Why does catnip make cats go crazy? - Jaap de Roode</t>
  </si>
  <si>
    <t xml:space="preserve">https://www.youtube.com/watch?v=HDt_rTPPh70</t>
  </si>
  <si>
    <t xml:space="preserve">The dark origins of Disney fairy tales - Claudia Schwabe</t>
  </si>
  <si>
    <t xml:space="preserve">https://www.youtube.com/watch?v=pyDZpDkU46Y</t>
  </si>
  <si>
    <t xml:space="preserve">Why your best ideas usually start as bad ones | Think Like A Musician</t>
  </si>
  <si>
    <t xml:space="preserve">https://www.youtube.com/watch?v=BlK23YzqXOM</t>
  </si>
  <si>
    <t xml:space="preserve">What toys have kids played with throughout history?</t>
  </si>
  <si>
    <t xml:space="preserve">https://www.youtube.com/watch?v=aob7rM5PV5A</t>
  </si>
  <si>
    <t xml:space="preserve">The incredible engineering of Venice - Stephanie H. Smith</t>
  </si>
  <si>
    <t xml:space="preserve">https://www.youtube.com/watch?v=uBwkMc1llmM</t>
  </si>
  <si>
    <t xml:space="preserve">Why is getting bitten by a rabid animal so dangerous? - Charles Rupprecht</t>
  </si>
  <si>
    <t xml:space="preserve">https://www.youtube.com/watch?v=gePOX4nbMU4</t>
  </si>
  <si>
    <t xml:space="preserve">Edgar Allan Poe's story of the Red Death - Iseult Gillespie</t>
  </si>
  <si>
    <t xml:space="preserve">https://www.youtube.com/watch?v=HdieAFhQtPo</t>
  </si>
  <si>
    <t xml:space="preserve">The missing ingredient in how we learn</t>
  </si>
  <si>
    <t xml:space="preserve">https://www.youtube.com/watch?v=mA1lnxfqHk8</t>
  </si>
  <si>
    <t xml:space="preserve">What to do if you live in the path of a volcano - Arianna Soldati</t>
  </si>
  <si>
    <t xml:space="preserve">https://www.youtube.com/watch?v=8H--GLt3h8I</t>
  </si>
  <si>
    <t xml:space="preserve">How to find hidden clues at crime scenes - Theodore E. Yeshion</t>
  </si>
  <si>
    <t xml:space="preserve">https://www.youtube.com/watch?v=P8OEz3PvWZQ</t>
  </si>
  <si>
    <t xml:space="preserve">The fascinating reason you loved peek-a-boo</t>
  </si>
  <si>
    <t xml:space="preserve">https://www.youtube.com/watch?v=qKM4JzToM-A</t>
  </si>
  <si>
    <t xml:space="preserve">Why do we use "they" as a singular pronoun? - Arika Okrent</t>
  </si>
  <si>
    <t xml:space="preserve">https://www.youtube.com/watch?v=65I_1sgTMLE</t>
  </si>
  <si>
    <t xml:space="preserve">Write every day, even if it’s terrible | Think Like A Musician</t>
  </si>
  <si>
    <t xml:space="preserve">https://www.youtube.com/watch?v=2x3rJMBVB28</t>
  </si>
  <si>
    <t xml:space="preserve">How can you overcome writer’s block?</t>
  </si>
  <si>
    <t xml:space="preserve">https://www.youtube.com/watch?v=QRA1-6imP3s</t>
  </si>
  <si>
    <t xml:space="preserve">Why was this kung fu masterpiece banned? - Gladys Mac</t>
  </si>
  <si>
    <t xml:space="preserve">https://www.youtube.com/watch?v=NEFmWclWiOw</t>
  </si>
  <si>
    <t xml:space="preserve">Why kids need to take more risks</t>
  </si>
  <si>
    <t xml:space="preserve">https://www.youtube.com/watch?v=kRAl4Xgs_NU</t>
  </si>
  <si>
    <t xml:space="preserve">What is "The Thinker" actually thinking about? - Noah Charney</t>
  </si>
  <si>
    <t xml:space="preserve">https://www.youtube.com/watch?v=dOqqBQ5Ha6Q</t>
  </si>
  <si>
    <t xml:space="preserve">Do imaginary friends make you smarter?</t>
  </si>
  <si>
    <t xml:space="preserve">https://www.youtube.com/watch?v=qLrnn24C3zU</t>
  </si>
  <si>
    <t xml:space="preserve">How do snakes swallow animals so much bigger than they are? - Niko Zlotnik</t>
  </si>
  <si>
    <t xml:space="preserve">https://www.youtube.com/watch?v=m2BE9GZJJbs</t>
  </si>
  <si>
    <t xml:space="preserve">The haunting history of the Paris Catacombs - Stephanie H. Smith</t>
  </si>
  <si>
    <t xml:space="preserve">https://www.youtube.com/watch?v=ngarNTPMclE</t>
  </si>
  <si>
    <t xml:space="preserve">What happens if you eat a silica gel packet? - Vivian Jiang</t>
  </si>
  <si>
    <t xml:space="preserve">https://www.youtube.com/watch?v=QWCHnR53oIw</t>
  </si>
  <si>
    <t xml:space="preserve">181+</t>
  </si>
  <si>
    <t xml:space="preserve">Do artists really write their own songs? | Think Like A Musician</t>
  </si>
  <si>
    <t xml:space="preserve">https://www.youtube.com/watch?v=UDdkgOoeNcQ</t>
  </si>
  <si>
    <t xml:space="preserve">How did ancient civilizations brew beer? - Malcolm Purinton</t>
  </si>
  <si>
    <t xml:space="preserve">https://www.youtube.com/watch?v=D98UJl6Ea6o</t>
  </si>
  <si>
    <t xml:space="preserve">What if your president was chosen via lottery? - Michael Vazquez</t>
  </si>
  <si>
    <t xml:space="preserve">https://www.youtube.com/watch?v=DDo4rW0DMpk</t>
  </si>
  <si>
    <t xml:space="preserve">3 surprising ways microplastics can enter your body</t>
  </si>
  <si>
    <t xml:space="preserve">https://www.youtube.com/watch?v=lQRsqMiBTsI</t>
  </si>
  <si>
    <t xml:space="preserve">How long can hair grow? - Maksim Plikus</t>
  </si>
  <si>
    <t xml:space="preserve">https://www.youtube.com/watch?v=iCBzEZek5cY</t>
  </si>
  <si>
    <t xml:space="preserve">What happens when you break a bone? - Gurpreet Baht and Natalie Pang</t>
  </si>
  <si>
    <t xml:space="preserve">https://www.youtube.com/watch?v=gVXoAbeB8QI</t>
  </si>
  <si>
    <t xml:space="preserve">How to use emergency contraception effectively - Alison Edelman</t>
  </si>
  <si>
    <t xml:space="preserve">https://www.youtube.com/watch?v=P5pmMe3EarI</t>
  </si>
  <si>
    <t xml:space="preserve">How hat fashion has evolved throughout history - Alison L. Goodrum</t>
  </si>
  <si>
    <t xml:space="preserve">https://www.youtube.com/watch?v=-Tw81EQYV_Y</t>
  </si>
  <si>
    <t xml:space="preserve">The biggest mistake lottery winners make</t>
  </si>
  <si>
    <t xml:space="preserve">https://www.youtube.com/watch?v=wxf_pKCOCBo</t>
  </si>
  <si>
    <t xml:space="preserve">Does hypnosis ever actually work? - Devin Terhune</t>
  </si>
  <si>
    <t xml:space="preserve">https://www.youtube.com/watch?v=JJdoAMiaLZo</t>
  </si>
  <si>
    <t xml:space="preserve">How expert songwriters find the right lyrics | Think Like A Musician</t>
  </si>
  <si>
    <t xml:space="preserve">https://www.youtube.com/watch?v=MBir652KZPE</t>
  </si>
  <si>
    <t xml:space="preserve">The biggest myths about Neanderthals - Bruce Hardy</t>
  </si>
  <si>
    <t xml:space="preserve">https://www.youtube.com/watch?v=EtiC0DVewa4</t>
  </si>
  <si>
    <t xml:space="preserve">3 things that can cause painful periods - Chen X. Chen</t>
  </si>
  <si>
    <t xml:space="preserve">https://www.youtube.com/watch?v=NOaeKRft-gc</t>
  </si>
  <si>
    <t xml:space="preserve">The machine that changed our understanding of human history - Max G. Levy</t>
  </si>
  <si>
    <t xml:space="preserve">https://www.youtube.com/watch?v=XNEHP6qFeCs</t>
  </si>
  <si>
    <t xml:space="preserve">What is vaginal discharge and why does it happen? - Elizabeth Micks</t>
  </si>
  <si>
    <t xml:space="preserve">https://www.youtube.com/watch?v=FKUc8vg_Lus</t>
  </si>
  <si>
    <t xml:space="preserve">Introducing TED Summer School!</t>
  </si>
  <si>
    <t xml:space="preserve">https://www.youtube.com/watch?v=mnLVpkkQVRU</t>
  </si>
  <si>
    <t xml:space="preserve">How much do you really know about Vikings? - Stephanie H. Smith</t>
  </si>
  <si>
    <t xml:space="preserve">https://www.youtube.com/watch?v=2gPzWP3dcOQ</t>
  </si>
  <si>
    <t xml:space="preserve">What causes herpes, and how can you treat it? - Christine Johnston</t>
  </si>
  <si>
    <t xml:space="preserve">https://www.youtube.com/watch?v=rdEC52iCQNk</t>
  </si>
  <si>
    <t xml:space="preserve">Father vs. Son: A journey into the underworld - Joseph Mbele</t>
  </si>
  <si>
    <t xml:space="preserve">https://www.youtube.com/watch?v=QFbQkZT1EEk</t>
  </si>
  <si>
    <t xml:space="preserve">How top songwriters craft the perfect pop song | Think Like A Musician</t>
  </si>
  <si>
    <t xml:space="preserve">https://www.youtube.com/watch?v=Lq_TYsGwTfM</t>
  </si>
  <si>
    <t xml:space="preserve">The infamous JoJo thought experiment - Michael Vazquez and Sarah Stroud</t>
  </si>
  <si>
    <t xml:space="preserve">https://www.youtube.com/watch?v=BT93bRX2t68</t>
  </si>
  <si>
    <t xml:space="preserve">Kiranmala: The tale of the princess who conquered Magic Mountain - Malay Bera</t>
  </si>
  <si>
    <t xml:space="preserve">https://www.youtube.com/watch?v=-bFgGvl4pBQ</t>
  </si>
  <si>
    <t xml:space="preserve">Will laser blasters ever be possible? - Christopher Baird</t>
  </si>
  <si>
    <t xml:space="preserve">https://www.youtube.com/watch?v=cmO2ryQ8LcY</t>
  </si>
  <si>
    <t xml:space="preserve">Upstairs, downstairs: The life of a British maid - Stephanie Honchell Smith</t>
  </si>
  <si>
    <t xml:space="preserve">https://www.youtube.com/watch?v=mzREA81VQ34</t>
  </si>
  <si>
    <t xml:space="preserve">How Japan saved its biggest city from collapse - Roman Krznaric</t>
  </si>
  <si>
    <t xml:space="preserve">https://www.youtube.com/watch?v=t0h8Dmni8g8</t>
  </si>
  <si>
    <t xml:space="preserve">Which instrument should you play? | Think Like A Musician</t>
  </si>
  <si>
    <t xml:space="preserve">https://www.youtube.com/watch?v=ybftH3XSd0Q</t>
  </si>
  <si>
    <t xml:space="preserve">Was Alexander the Great really that great? - Stephanie Honchell Smith</t>
  </si>
  <si>
    <t xml:space="preserve">https://www.youtube.com/watch?v=bVjKL1zd-vQ</t>
  </si>
  <si>
    <t xml:space="preserve">Winter got you feeling down? Watch this - Kelly Rohan</t>
  </si>
  <si>
    <t xml:space="preserve">https://www.youtube.com/watch?v=0RiDPisQAzM</t>
  </si>
  <si>
    <t xml:space="preserve">What’s the best position to sleep in? - Rachel Marie E. Salas</t>
  </si>
  <si>
    <t xml:space="preserve">https://www.youtube.com/watch?v=_GI9-J-sE5k</t>
  </si>
  <si>
    <t xml:space="preserve">Scientists still don't know the answer to this infamous question - Charles Wallace &amp; Dan Kwartler</t>
  </si>
  <si>
    <t xml:space="preserve">https://www.youtube.com/watch?v=3ezPMAoxSbw</t>
  </si>
  <si>
    <t xml:space="preserve">10 musicians weigh in on what makes for a great performance | Think Like A Musician</t>
  </si>
  <si>
    <t xml:space="preserve">https://www.youtube.com/watch?v=zrjhaYc-9pg</t>
  </si>
  <si>
    <t xml:space="preserve">How comic books can help you learn - Gene Luen Yang</t>
  </si>
  <si>
    <t xml:space="preserve">https://www.youtube.com/watch?v=ofk-aw5G-FQ</t>
  </si>
  <si>
    <t xml:space="preserve">How one of the world’s richest companies rose to power - Shantel George</t>
  </si>
  <si>
    <t xml:space="preserve">https://www.youtube.com/watch?v=IpaVpMFBwAE</t>
  </si>
  <si>
    <t xml:space="preserve">This is what happens in your brain when you can’t recall a word - Cella Wright</t>
  </si>
  <si>
    <t xml:space="preserve">https://www.youtube.com/watch?v=wtovy-1-QUM</t>
  </si>
  <si>
    <t xml:space="preserve">What lack of sleep does to the teenage brain - Wendy Troxel</t>
  </si>
  <si>
    <t xml:space="preserve">https://www.youtube.com/watch?v=WJhCa12UTsg</t>
  </si>
  <si>
    <t xml:space="preserve">How the lead industry lied to the public for decades - Gerald Markowitz and David Rosner</t>
  </si>
  <si>
    <t xml:space="preserve">https://www.youtube.com/watch?v=AMKzXZphgyo</t>
  </si>
  <si>
    <t xml:space="preserve">The 3 best predictors of how well you’ll age - Juulia Jylhävä</t>
  </si>
  <si>
    <t xml:space="preserve">https://www.youtube.com/watch?v=UQdtUaeZWLo</t>
  </si>
  <si>
    <t xml:space="preserve">How does leg lengthening surgery work? - Jason Shih Hoellwarth</t>
  </si>
  <si>
    <t xml:space="preserve">https://www.youtube.com/watch?v=ul-c6a4QkiU</t>
  </si>
  <si>
    <t xml:space="preserve">The best way to become good at something might surprise you - David Epstein</t>
  </si>
  <si>
    <t xml:space="preserve">https://www.youtube.com/watch?v=jLOuMXnM5wk</t>
  </si>
  <si>
    <t xml:space="preserve">How to become a great singer | Think Like A Musician</t>
  </si>
  <si>
    <t xml:space="preserve">https://www.youtube.com/watch?v=YtCpZnBhWZ0</t>
  </si>
  <si>
    <t xml:space="preserve">Japan's most famous ghost story - Jeffrey Angles</t>
  </si>
  <si>
    <t xml:space="preserve">https://www.youtube.com/watch?v=56F0Y33QZnQ</t>
  </si>
  <si>
    <t xml:space="preserve">What’s the best way to lift people out of poverty?</t>
  </si>
  <si>
    <t xml:space="preserve">https://www.youtube.com/watch?v=_gTgloPR0Aw</t>
  </si>
  <si>
    <t xml:space="preserve">History vs. Russia’s most infamous empress - Carolyn Harris</t>
  </si>
  <si>
    <t xml:space="preserve">https://www.youtube.com/watch?v=uJ_d-UD0xPE</t>
  </si>
  <si>
    <t xml:space="preserve">Why don't we send our trash to space? - Jim Bentley and Imogen Ellen Napper</t>
  </si>
  <si>
    <t xml:space="preserve">https://www.youtube.com/watch?v=PN4moDNE-Kg</t>
  </si>
  <si>
    <t xml:space="preserve">Are vampire bats dangerous? - Imran Razik</t>
  </si>
  <si>
    <t xml:space="preserve">https://www.youtube.com/watch?v=H5DhD5Nwl_0</t>
  </si>
  <si>
    <t xml:space="preserve">Inside the mind of a drummer | Think Like A Musician</t>
  </si>
  <si>
    <t xml:space="preserve">https://www.youtube.com/watch?v=yYPnos84NDY</t>
  </si>
  <si>
    <t xml:space="preserve">How exactly do inhalers work? - Anna Rothschild</t>
  </si>
  <si>
    <t xml:space="preserve">https://www.youtube.com/watch?v=8hgEorF0vyY</t>
  </si>
  <si>
    <t xml:space="preserve">Your phone’s camera isn’t as good as you think - Rachel Yang</t>
  </si>
  <si>
    <t xml:space="preserve">https://www.youtube.com/watch?v=7dm2AsJ3-E8</t>
  </si>
  <si>
    <t xml:space="preserve">The Greek myth of the Fates’ prophecy - Iseult Gillespie</t>
  </si>
  <si>
    <t xml:space="preserve">https://www.youtube.com/watch?v=B-ukcWJzXwc</t>
  </si>
  <si>
    <t xml:space="preserve">Grouped Performance Summary</t>
  </si>
  <si>
    <t xml:space="preserve">All medians are Performance Ratio (video views ÷ median views of same age band). 1.0 = typical for its age.</t>
  </si>
  <si>
    <t xml:space="preserve">By Topic Category</t>
  </si>
  <si>
    <t xml:space="preserve">Group</t>
  </si>
  <si>
    <t xml:space="preserve">Count</t>
  </si>
  <si>
    <t xml:space="preserve">Median Ratio</t>
  </si>
  <si>
    <t xml:space="preserve">Outliers</t>
  </si>
  <si>
    <t xml:space="preserve">Underperformers</t>
  </si>
  <si>
    <t xml:space="preserve">By Title Structure</t>
  </si>
  <si>
    <t xml:space="preserve">By Everyday Relevance</t>
  </si>
  <si>
    <t xml:space="preserve">Think Like a Musician Series vs. Rest</t>
  </si>
  <si>
    <t xml:space="preserve">Series (Think Like a Musician)</t>
  </si>
  <si>
    <t xml:space="preserve">All other videos</t>
  </si>
  <si>
    <t xml:space="preserve">Methodology &amp; Limitations</t>
  </si>
  <si>
    <t xml:space="preserve">Scope: 93 long-form TED-Ed videos uploaded in the last ~12 months (2 videos under 180 seconds were tagged as Shorts and excluded from band medians). Data pulled via the YouTube Data API v3 and snapshotted on 2026-09-28.</t>
  </si>
  <si>
    <t xml:space="preserve">Age-adjustment: Raw view counts favor older videos, which have had more time to accumulate views. Each video is compared only to others uploaded in the same age band (0-30, 31-90, 91-180, 181+ days), using the median views of that band as the baseline. Performance Ratio = video views ÷ its band's median views. 1.0 = typical for its age; 2.0 = twice the typical performance.</t>
  </si>
  <si>
    <t xml:space="preserve">Flags: 'Outlier' = ratio ≥ 2.0. 'Underperformer' = ratio ≤ 0.5. These thresholds are a judgment call, not an industry standard.</t>
  </si>
  <si>
    <t xml:space="preserve">Tagging: Title structure was assigned by rule (starts with a digit = List; contains '?' = Question; otherwise Statement). Topic category and Everyday Relevance were assigned by manual judgment against a fixed rule set, and are the most subjective part of this analysis.</t>
  </si>
  <si>
    <t xml:space="preserve">Limitations: This uses public view counts only — no CTR, impressions, traffic-source, or retention data, which YouTube Studio would provide. Some age bands (especially 0-30 and 31-90 days) have small sample sizes, so their medians should be read as directional, not conclusive. Correlation shown here is not evidence of causation.</t>
  </si>
  <si>
    <t xml:space="preserve">Suggested next tests with Studio access: compare CTR and impressions across the outlier vs. typical Health/Psychology videos to see whether the lift comes from packaging or content; check traffic-source split (search vs. suggested vs. browse) on the top 5 outliers; run a retention-curve comparison between the highest- and lowest-ratio videos within the same age band.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</si>
</sst>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\ hh:mm:ss"/>
    <numFmt numFmtId="167" formatCode="General"/>
    <numFmt numFmtId="168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A44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b val="true"/>
      <sz val="22"/>
      <color rgb="FF2C7A7B"/>
      <name val="Arial"/>
      <family val="0"/>
      <charset val="1"/>
    </font>
    <font>
      <b val="true"/>
      <sz val="14"/>
      <color rgb="FF2C7A7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u val="single"/>
      <sz val="11"/>
      <color theme="10"/>
      <name val="Calibri"/>
      <family val="2"/>
      <charset val="1"/>
    </font>
    <font>
      <b val="true"/>
      <sz val="13"/>
      <color rgb="FF1F2A4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4F6F8"/>
        <bgColor rgb="FFF9F9F9"/>
      </patternFill>
    </fill>
    <fill>
      <patternFill patternType="solid">
        <fgColor rgb="FF1F2A44"/>
        <bgColor rgb="FF1A1A1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4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>
          <bgColor rgb="FFFBD9D4"/>
        </patternFill>
      </fill>
    </dxf>
    <dxf>
      <fill>
        <patternFill>
          <bgColor rgb="FFE5E7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C7A7B"/>
      <rgbColor rgb="FFD9D9D9"/>
      <rgbColor rgb="FF878787"/>
      <rgbColor rgb="FF9999FF"/>
      <rgbColor rgb="FF993366"/>
      <rgbColor rgb="FFF9F9F9"/>
      <rgbColor rgb="FFF4F6F8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BD9D4"/>
      <rgbColor rgb="FF3366FF"/>
      <rgbColor rgb="FF33CCCC"/>
      <rgbColor rgb="FF99CC00"/>
      <rgbColor rgb="FFFFCC00"/>
      <rgbColor rgb="FFFF9900"/>
      <rgbColor rgb="FFE85D4E"/>
      <rgbColor rgb="FF6B7280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Median Performance Ratio by Topic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Tables'!C5</c:f>
              <c:strCache>
                <c:ptCount val="1"/>
                <c:pt idx="0">
                  <c:v>Median Ratio</c:v>
                </c:pt>
              </c:strCache>
            </c:strRef>
          </c:tx>
          <c:spPr>
            <a:solidFill>
              <a:srgbClr val="2c7a7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Tables'!$A$6:$A$10</c:f>
              <c:strCache>
                <c:ptCount val="5"/>
                <c:pt idx="0">
                  <c:v>Health/Psychology</c:v>
                </c:pt>
                <c:pt idx="1">
                  <c:v>Society</c:v>
                </c:pt>
                <c:pt idx="2">
                  <c:v>History/Culture</c:v>
                </c:pt>
                <c:pt idx="3">
                  <c:v>Science</c:v>
                </c:pt>
                <c:pt idx="4">
                  <c:v>Arts/Language</c:v>
                </c:pt>
              </c:strCache>
            </c:strRef>
          </c:cat>
          <c:val>
            <c:numRef>
              <c:f>'Pivot Tables'!$C$6:$C$10</c:f>
              <c:numCache>
                <c:formatCode>0.00</c:formatCode>
                <c:ptCount val="5"/>
                <c:pt idx="0">
                  <c:v>2.341600549</c:v>
                </c:pt>
                <c:pt idx="1">
                  <c:v>1.008856086</c:v>
                </c:pt>
                <c:pt idx="2">
                  <c:v>1</c:v>
                </c:pt>
                <c:pt idx="3">
                  <c:v>0.8556716531</c:v>
                </c:pt>
                <c:pt idx="4">
                  <c:v>0.54554614605</c:v>
                </c:pt>
              </c:numCache>
            </c:numRef>
          </c:val>
        </c:ser>
        <c:gapWidth val="150"/>
        <c:overlap val="0"/>
        <c:axId val="40981239"/>
        <c:axId val="92446695"/>
      </c:barChart>
      <c:catAx>
        <c:axId val="40981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46695"/>
        <c:crosses val="autoZero"/>
        <c:auto val="1"/>
        <c:lblAlgn val="ctr"/>
        <c:lblOffset val="100"/>
        <c:noMultiLvlLbl val="0"/>
      </c:catAx>
      <c:valAx>
        <c:axId val="924466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Median ratio (1.0 = typical)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812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Median Performance Ratio by Title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Tables'!C14</c:f>
              <c:strCache>
                <c:ptCount val="1"/>
                <c:pt idx="0">
                  <c:v>Median Ratio</c:v>
                </c:pt>
              </c:strCache>
            </c:strRef>
          </c:tx>
          <c:spPr>
            <a:solidFill>
              <a:srgbClr val="e85d4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Tables'!$A$15:$A$17</c:f>
              <c:strCache>
                <c:ptCount val="3"/>
                <c:pt idx="0">
                  <c:v>Question</c:v>
                </c:pt>
                <c:pt idx="1">
                  <c:v>Statement</c:v>
                </c:pt>
                <c:pt idx="2">
                  <c:v>List</c:v>
                </c:pt>
              </c:strCache>
            </c:strRef>
          </c:cat>
          <c:val>
            <c:numRef>
              <c:f>'Pivot Tables'!$C$15:$C$17</c:f>
              <c:numCache>
                <c:formatCode>0.00</c:formatCode>
                <c:ptCount val="3"/>
                <c:pt idx="0">
                  <c:v>1.1129482435</c:v>
                </c:pt>
                <c:pt idx="1">
                  <c:v>0.9600856018</c:v>
                </c:pt>
                <c:pt idx="2">
                  <c:v>0.8538267978</c:v>
                </c:pt>
              </c:numCache>
            </c:numRef>
          </c:val>
        </c:ser>
        <c:gapWidth val="150"/>
        <c:overlap val="0"/>
        <c:axId val="58286541"/>
        <c:axId val="48314225"/>
      </c:barChart>
      <c:catAx>
        <c:axId val="582865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314225"/>
        <c:crosses val="autoZero"/>
        <c:auto val="1"/>
        <c:lblAlgn val="ctr"/>
        <c:lblOffset val="100"/>
        <c:noMultiLvlLbl val="0"/>
      </c:catAx>
      <c:valAx>
        <c:axId val="483142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Median 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865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Median Performance Ratio: Everyday-Relevant vs. Not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Tables'!C21</c:f>
              <c:strCache>
                <c:ptCount val="1"/>
                <c:pt idx="0">
                  <c:v>Median Ratio</c:v>
                </c:pt>
              </c:strCache>
            </c:strRef>
          </c:tx>
          <c:spPr>
            <a:solidFill>
              <a:srgbClr val="1f2a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Tables'!$A$22:$A$23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'Pivot Tables'!$C$22:$C$23</c:f>
              <c:numCache>
                <c:formatCode>0.00</c:formatCode>
                <c:ptCount val="2"/>
                <c:pt idx="0">
                  <c:v>1.232235519</c:v>
                </c:pt>
                <c:pt idx="1">
                  <c:v>0.8556716531</c:v>
                </c:pt>
              </c:numCache>
            </c:numRef>
          </c:val>
        </c:ser>
        <c:gapWidth val="150"/>
        <c:overlap val="0"/>
        <c:axId val="54289431"/>
        <c:axId val="61254371"/>
      </c:barChart>
      <c:catAx>
        <c:axId val="54289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254371"/>
        <c:crosses val="autoZero"/>
        <c:auto val="1"/>
        <c:lblAlgn val="ctr"/>
        <c:lblOffset val="100"/>
        <c:noMultiLvlLbl val="0"/>
      </c:catAx>
      <c:valAx>
        <c:axId val="612543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Median 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2894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Think Like a Musician Series vs. All Other Videos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Tables'!C27</c:f>
              <c:strCache>
                <c:ptCount val="1"/>
                <c:pt idx="0">
                  <c:v>Median Ratio</c:v>
                </c:pt>
              </c:strCache>
            </c:strRef>
          </c:tx>
          <c:spPr>
            <a:solidFill>
              <a:srgbClr val="6b728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Tables'!$A$28:$A$29</c:f>
              <c:strCache>
                <c:ptCount val="2"/>
                <c:pt idx="0">
                  <c:v>Series (Think Like a Musician)</c:v>
                </c:pt>
                <c:pt idx="1">
                  <c:v>All other videos</c:v>
                </c:pt>
              </c:strCache>
            </c:strRef>
          </c:cat>
          <c:val>
            <c:numRef>
              <c:f>'Pivot Tables'!$C$28:$C$29</c:f>
              <c:numCache>
                <c:formatCode>0.00</c:formatCode>
                <c:ptCount val="2"/>
                <c:pt idx="0">
                  <c:v>0.2677735104</c:v>
                </c:pt>
                <c:pt idx="1">
                  <c:v>1.05332392</c:v>
                </c:pt>
              </c:numCache>
            </c:numRef>
          </c:val>
        </c:ser>
        <c:gapWidth val="150"/>
        <c:overlap val="0"/>
        <c:axId val="28834109"/>
        <c:axId val="76556973"/>
      </c:barChart>
      <c:catAx>
        <c:axId val="288341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56973"/>
        <c:crosses val="autoZero"/>
        <c:auto val="1"/>
        <c:lblAlgn val="ctr"/>
        <c:lblOffset val="100"/>
        <c:noMultiLvlLbl val="0"/>
      </c:catAx>
      <c:valAx>
        <c:axId val="765569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Median 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341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</xdr:row>
      <xdr:rowOff>40680</xdr:rowOff>
    </xdr:from>
    <xdr:to>
      <xdr:col>7</xdr:col>
      <xdr:colOff>120600</xdr:colOff>
      <xdr:row>22</xdr:row>
      <xdr:rowOff>62640</xdr:rowOff>
    </xdr:to>
    <xdr:graphicFrame>
      <xdr:nvGraphicFramePr>
        <xdr:cNvPr id="0" name="Chart 1"/>
        <xdr:cNvGraphicFramePr/>
      </xdr:nvGraphicFramePr>
      <xdr:xfrm>
        <a:off x="211320" y="15620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7</xdr:row>
      <xdr:rowOff>40680</xdr:rowOff>
    </xdr:from>
    <xdr:to>
      <xdr:col>16</xdr:col>
      <xdr:colOff>189360</xdr:colOff>
      <xdr:row>22</xdr:row>
      <xdr:rowOff>62640</xdr:rowOff>
    </xdr:to>
    <xdr:graphicFrame>
      <xdr:nvGraphicFramePr>
        <xdr:cNvPr id="1" name="Chart 2"/>
        <xdr:cNvGraphicFramePr/>
      </xdr:nvGraphicFramePr>
      <xdr:xfrm>
        <a:off x="7753320" y="15620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23</xdr:row>
      <xdr:rowOff>40680</xdr:rowOff>
    </xdr:from>
    <xdr:to>
      <xdr:col>7</xdr:col>
      <xdr:colOff>120600</xdr:colOff>
      <xdr:row>38</xdr:row>
      <xdr:rowOff>63000</xdr:rowOff>
    </xdr:to>
    <xdr:graphicFrame>
      <xdr:nvGraphicFramePr>
        <xdr:cNvPr id="2" name="Chart 3"/>
        <xdr:cNvGraphicFramePr/>
      </xdr:nvGraphicFramePr>
      <xdr:xfrm>
        <a:off x="211320" y="46101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23</xdr:row>
      <xdr:rowOff>40680</xdr:rowOff>
    </xdr:from>
    <xdr:to>
      <xdr:col>16</xdr:col>
      <xdr:colOff>189360</xdr:colOff>
      <xdr:row>38</xdr:row>
      <xdr:rowOff>63000</xdr:rowOff>
    </xdr:to>
    <xdr:graphicFrame>
      <xdr:nvGraphicFramePr>
        <xdr:cNvPr id="3" name="Chart 4"/>
        <xdr:cNvGraphicFramePr/>
      </xdr:nvGraphicFramePr>
      <xdr:xfrm>
        <a:off x="7753320" y="46101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jG7ULeWUfDw" TargetMode="External"/><Relationship Id="rId2" Type="http://schemas.openxmlformats.org/officeDocument/2006/relationships/hyperlink" Target="https://www.youtube.com/watch?v=N2uQWfV6Jr4" TargetMode="External"/><Relationship Id="rId3" Type="http://schemas.openxmlformats.org/officeDocument/2006/relationships/hyperlink" Target="https://www.youtube.com/watch?v=bHB5iiDDJ-s" TargetMode="External"/><Relationship Id="rId4" Type="http://schemas.openxmlformats.org/officeDocument/2006/relationships/hyperlink" Target="https://www.youtube.com/watch?v=EMbZ72cCAzI" TargetMode="External"/><Relationship Id="rId5" Type="http://schemas.openxmlformats.org/officeDocument/2006/relationships/hyperlink" Target="https://www.youtube.com/watch?v=I8XaYkRW1tA" TargetMode="External"/><Relationship Id="rId6" Type="http://schemas.openxmlformats.org/officeDocument/2006/relationships/hyperlink" Target="https://www.youtube.com/watch?v=_gP3aXvNmv8" TargetMode="External"/><Relationship Id="rId7" Type="http://schemas.openxmlformats.org/officeDocument/2006/relationships/hyperlink" Target="https://www.youtube.com/watch?v=BSdEiOYvKpE" TargetMode="External"/><Relationship Id="rId8" Type="http://schemas.openxmlformats.org/officeDocument/2006/relationships/hyperlink" Target="https://www.youtube.com/watch?v=JOs-q7rXqdk" TargetMode="External"/><Relationship Id="rId9" Type="http://schemas.openxmlformats.org/officeDocument/2006/relationships/hyperlink" Target="https://www.youtube.com/watch?v=QyRqlTV60zM" TargetMode="External"/><Relationship Id="rId10" Type="http://schemas.openxmlformats.org/officeDocument/2006/relationships/hyperlink" Target="https://www.youtube.com/watch?v=l29K-ZkARmE" TargetMode="External"/><Relationship Id="rId11" Type="http://schemas.openxmlformats.org/officeDocument/2006/relationships/hyperlink" Target="https://www.youtube.com/watch?v=2A1IEBFt6Xg" TargetMode="External"/><Relationship Id="rId12" Type="http://schemas.openxmlformats.org/officeDocument/2006/relationships/hyperlink" Target="https://www.youtube.com/watch?v=-61qDRPG3to" TargetMode="External"/><Relationship Id="rId13" Type="http://schemas.openxmlformats.org/officeDocument/2006/relationships/hyperlink" Target="https://www.youtube.com/watch?v=krNP8RlDsbw" TargetMode="External"/><Relationship Id="rId14" Type="http://schemas.openxmlformats.org/officeDocument/2006/relationships/hyperlink" Target="https://www.youtube.com/watch?v=5jPCAlE0z7I" TargetMode="External"/><Relationship Id="rId15" Type="http://schemas.openxmlformats.org/officeDocument/2006/relationships/hyperlink" Target="https://www.youtube.com/watch?v=JhxuP0AuRPA" TargetMode="External"/><Relationship Id="rId16" Type="http://schemas.openxmlformats.org/officeDocument/2006/relationships/hyperlink" Target="https://www.youtube.com/watch?v=5ljV0Vxu00M" TargetMode="External"/><Relationship Id="rId17" Type="http://schemas.openxmlformats.org/officeDocument/2006/relationships/hyperlink" Target="https://www.youtube.com/watch?v=QIqKGMM8ivM" TargetMode="External"/><Relationship Id="rId18" Type="http://schemas.openxmlformats.org/officeDocument/2006/relationships/hyperlink" Target="https://www.youtube.com/watch?v=DbEZmLoGDbk" TargetMode="External"/><Relationship Id="rId19" Type="http://schemas.openxmlformats.org/officeDocument/2006/relationships/hyperlink" Target="https://www.youtube.com/watch?v=6hCo4S_1Fhw" TargetMode="External"/><Relationship Id="rId20" Type="http://schemas.openxmlformats.org/officeDocument/2006/relationships/hyperlink" Target="https://www.youtube.com/watch?v=FBpBUwlDId0" TargetMode="External"/><Relationship Id="rId21" Type="http://schemas.openxmlformats.org/officeDocument/2006/relationships/hyperlink" Target="https://www.youtube.com/watch?v=eR5blcjll8o" TargetMode="External"/><Relationship Id="rId22" Type="http://schemas.openxmlformats.org/officeDocument/2006/relationships/hyperlink" Target="https://www.youtube.com/watch?v=JDqpcHGfJ2I" TargetMode="External"/><Relationship Id="rId23" Type="http://schemas.openxmlformats.org/officeDocument/2006/relationships/hyperlink" Target="https://www.youtube.com/watch?v=Q9Vt6NGBVBc" TargetMode="External"/><Relationship Id="rId24" Type="http://schemas.openxmlformats.org/officeDocument/2006/relationships/hyperlink" Target="https://www.youtube.com/watch?v=HDt_rTPPh70" TargetMode="External"/><Relationship Id="rId25" Type="http://schemas.openxmlformats.org/officeDocument/2006/relationships/hyperlink" Target="https://www.youtube.com/watch?v=pyDZpDkU46Y" TargetMode="External"/><Relationship Id="rId26" Type="http://schemas.openxmlformats.org/officeDocument/2006/relationships/hyperlink" Target="https://www.youtube.com/watch?v=BlK23YzqXOM" TargetMode="External"/><Relationship Id="rId27" Type="http://schemas.openxmlformats.org/officeDocument/2006/relationships/hyperlink" Target="https://www.youtube.com/watch?v=aob7rM5PV5A" TargetMode="External"/><Relationship Id="rId28" Type="http://schemas.openxmlformats.org/officeDocument/2006/relationships/hyperlink" Target="https://www.youtube.com/watch?v=uBwkMc1llmM" TargetMode="External"/><Relationship Id="rId29" Type="http://schemas.openxmlformats.org/officeDocument/2006/relationships/hyperlink" Target="https://www.youtube.com/watch?v=gePOX4nbMU4" TargetMode="External"/><Relationship Id="rId30" Type="http://schemas.openxmlformats.org/officeDocument/2006/relationships/hyperlink" Target="https://www.youtube.com/watch?v=HdieAFhQtPo" TargetMode="External"/><Relationship Id="rId31" Type="http://schemas.openxmlformats.org/officeDocument/2006/relationships/hyperlink" Target="https://www.youtube.com/watch?v=mA1lnxfqHk8" TargetMode="External"/><Relationship Id="rId32" Type="http://schemas.openxmlformats.org/officeDocument/2006/relationships/hyperlink" Target="https://www.youtube.com/watch?v=8H--GLt3h8I" TargetMode="External"/><Relationship Id="rId33" Type="http://schemas.openxmlformats.org/officeDocument/2006/relationships/hyperlink" Target="https://www.youtube.com/watch?v=P8OEz3PvWZQ" TargetMode="External"/><Relationship Id="rId34" Type="http://schemas.openxmlformats.org/officeDocument/2006/relationships/hyperlink" Target="https://www.youtube.com/watch?v=qKM4JzToM-A" TargetMode="External"/><Relationship Id="rId35" Type="http://schemas.openxmlformats.org/officeDocument/2006/relationships/hyperlink" Target="https://www.youtube.com/watch?v=65I_1sgTMLE" TargetMode="External"/><Relationship Id="rId36" Type="http://schemas.openxmlformats.org/officeDocument/2006/relationships/hyperlink" Target="https://www.youtube.com/watch?v=2x3rJMBVB28" TargetMode="External"/><Relationship Id="rId37" Type="http://schemas.openxmlformats.org/officeDocument/2006/relationships/hyperlink" Target="https://www.youtube.com/watch?v=QRA1-6imP3s" TargetMode="External"/><Relationship Id="rId38" Type="http://schemas.openxmlformats.org/officeDocument/2006/relationships/hyperlink" Target="https://www.youtube.com/watch?v=NEFmWclWiOw" TargetMode="External"/><Relationship Id="rId39" Type="http://schemas.openxmlformats.org/officeDocument/2006/relationships/hyperlink" Target="https://www.youtube.com/watch?v=kRAl4Xgs_NU" TargetMode="External"/><Relationship Id="rId40" Type="http://schemas.openxmlformats.org/officeDocument/2006/relationships/hyperlink" Target="https://www.youtube.com/watch?v=dOqqBQ5Ha6Q" TargetMode="External"/><Relationship Id="rId41" Type="http://schemas.openxmlformats.org/officeDocument/2006/relationships/hyperlink" Target="https://www.youtube.com/watch?v=qLrnn24C3zU" TargetMode="External"/><Relationship Id="rId42" Type="http://schemas.openxmlformats.org/officeDocument/2006/relationships/hyperlink" Target="https://www.youtube.com/watch?v=m2BE9GZJJbs" TargetMode="External"/><Relationship Id="rId43" Type="http://schemas.openxmlformats.org/officeDocument/2006/relationships/hyperlink" Target="https://www.youtube.com/watch?v=ngarNTPMclE" TargetMode="External"/><Relationship Id="rId44" Type="http://schemas.openxmlformats.org/officeDocument/2006/relationships/hyperlink" Target="https://www.youtube.com/watch?v=QWCHnR53oIw" TargetMode="External"/><Relationship Id="rId45" Type="http://schemas.openxmlformats.org/officeDocument/2006/relationships/hyperlink" Target="https://www.youtube.com/watch?v=UDdkgOoeNcQ" TargetMode="External"/><Relationship Id="rId46" Type="http://schemas.openxmlformats.org/officeDocument/2006/relationships/hyperlink" Target="https://www.youtube.com/watch?v=D98UJl6Ea6o" TargetMode="External"/><Relationship Id="rId47" Type="http://schemas.openxmlformats.org/officeDocument/2006/relationships/hyperlink" Target="https://www.youtube.com/watch?v=DDo4rW0DMpk" TargetMode="External"/><Relationship Id="rId48" Type="http://schemas.openxmlformats.org/officeDocument/2006/relationships/hyperlink" Target="https://www.youtube.com/watch?v=lQRsqMiBTsI" TargetMode="External"/><Relationship Id="rId49" Type="http://schemas.openxmlformats.org/officeDocument/2006/relationships/hyperlink" Target="https://www.youtube.com/watch?v=iCBzEZek5cY" TargetMode="External"/><Relationship Id="rId50" Type="http://schemas.openxmlformats.org/officeDocument/2006/relationships/hyperlink" Target="https://www.youtube.com/watch?v=gVXoAbeB8QI" TargetMode="External"/><Relationship Id="rId51" Type="http://schemas.openxmlformats.org/officeDocument/2006/relationships/hyperlink" Target="https://www.youtube.com/watch?v=P5pmMe3EarI" TargetMode="External"/><Relationship Id="rId52" Type="http://schemas.openxmlformats.org/officeDocument/2006/relationships/hyperlink" Target="https://www.youtube.com/watch?v=-Tw81EQYV_Y" TargetMode="External"/><Relationship Id="rId53" Type="http://schemas.openxmlformats.org/officeDocument/2006/relationships/hyperlink" Target="https://www.youtube.com/watch?v=wxf_pKCOCBo" TargetMode="External"/><Relationship Id="rId54" Type="http://schemas.openxmlformats.org/officeDocument/2006/relationships/hyperlink" Target="https://www.youtube.com/watch?v=JJdoAMiaLZo" TargetMode="External"/><Relationship Id="rId55" Type="http://schemas.openxmlformats.org/officeDocument/2006/relationships/hyperlink" Target="https://www.youtube.com/watch?v=MBir652KZPE" TargetMode="External"/><Relationship Id="rId56" Type="http://schemas.openxmlformats.org/officeDocument/2006/relationships/hyperlink" Target="https://www.youtube.com/watch?v=EtiC0DVewa4" TargetMode="External"/><Relationship Id="rId57" Type="http://schemas.openxmlformats.org/officeDocument/2006/relationships/hyperlink" Target="https://www.youtube.com/watch?v=NOaeKRft-gc" TargetMode="External"/><Relationship Id="rId58" Type="http://schemas.openxmlformats.org/officeDocument/2006/relationships/hyperlink" Target="https://www.youtube.com/watch?v=XNEHP6qFeCs" TargetMode="External"/><Relationship Id="rId59" Type="http://schemas.openxmlformats.org/officeDocument/2006/relationships/hyperlink" Target="https://www.youtube.com/watch?v=FKUc8vg_Lus" TargetMode="External"/><Relationship Id="rId60" Type="http://schemas.openxmlformats.org/officeDocument/2006/relationships/hyperlink" Target="https://www.youtube.com/watch?v=mnLVpkkQVRU" TargetMode="External"/><Relationship Id="rId61" Type="http://schemas.openxmlformats.org/officeDocument/2006/relationships/hyperlink" Target="https://www.youtube.com/watch?v=2gPzWP3dcOQ" TargetMode="External"/><Relationship Id="rId62" Type="http://schemas.openxmlformats.org/officeDocument/2006/relationships/hyperlink" Target="https://www.youtube.com/watch?v=rdEC52iCQNk" TargetMode="External"/><Relationship Id="rId63" Type="http://schemas.openxmlformats.org/officeDocument/2006/relationships/hyperlink" Target="https://www.youtube.com/watch?v=QFbQkZT1EEk" TargetMode="External"/><Relationship Id="rId64" Type="http://schemas.openxmlformats.org/officeDocument/2006/relationships/hyperlink" Target="https://www.youtube.com/watch?v=Lq_TYsGwTfM" TargetMode="External"/><Relationship Id="rId65" Type="http://schemas.openxmlformats.org/officeDocument/2006/relationships/hyperlink" Target="https://www.youtube.com/watch?v=BT93bRX2t68" TargetMode="External"/><Relationship Id="rId66" Type="http://schemas.openxmlformats.org/officeDocument/2006/relationships/hyperlink" Target="https://www.youtube.com/watch?v=-bFgGvl4pBQ" TargetMode="External"/><Relationship Id="rId67" Type="http://schemas.openxmlformats.org/officeDocument/2006/relationships/hyperlink" Target="https://www.youtube.com/watch?v=cmO2ryQ8LcY" TargetMode="External"/><Relationship Id="rId68" Type="http://schemas.openxmlformats.org/officeDocument/2006/relationships/hyperlink" Target="https://www.youtube.com/watch?v=mzREA81VQ34" TargetMode="External"/><Relationship Id="rId69" Type="http://schemas.openxmlformats.org/officeDocument/2006/relationships/hyperlink" Target="https://www.youtube.com/watch?v=t0h8Dmni8g8" TargetMode="External"/><Relationship Id="rId70" Type="http://schemas.openxmlformats.org/officeDocument/2006/relationships/hyperlink" Target="https://www.youtube.com/watch?v=ybftH3XSd0Q" TargetMode="External"/><Relationship Id="rId71" Type="http://schemas.openxmlformats.org/officeDocument/2006/relationships/hyperlink" Target="https://www.youtube.com/watch?v=bVjKL1zd-vQ" TargetMode="External"/><Relationship Id="rId72" Type="http://schemas.openxmlformats.org/officeDocument/2006/relationships/hyperlink" Target="https://www.youtube.com/watch?v=0RiDPisQAzM" TargetMode="External"/><Relationship Id="rId73" Type="http://schemas.openxmlformats.org/officeDocument/2006/relationships/hyperlink" Target="https://www.youtube.com/watch?v=_GI9-J-sE5k" TargetMode="External"/><Relationship Id="rId74" Type="http://schemas.openxmlformats.org/officeDocument/2006/relationships/hyperlink" Target="https://www.youtube.com/watch?v=3ezPMAoxSbw" TargetMode="External"/><Relationship Id="rId75" Type="http://schemas.openxmlformats.org/officeDocument/2006/relationships/hyperlink" Target="https://www.youtube.com/watch?v=zrjhaYc-9pg" TargetMode="External"/><Relationship Id="rId76" Type="http://schemas.openxmlformats.org/officeDocument/2006/relationships/hyperlink" Target="https://www.youtube.com/watch?v=ofk-aw5G-FQ" TargetMode="External"/><Relationship Id="rId77" Type="http://schemas.openxmlformats.org/officeDocument/2006/relationships/hyperlink" Target="https://www.youtube.com/watch?v=IpaVpMFBwAE" TargetMode="External"/><Relationship Id="rId78" Type="http://schemas.openxmlformats.org/officeDocument/2006/relationships/hyperlink" Target="https://www.youtube.com/watch?v=wtovy-1-QUM" TargetMode="External"/><Relationship Id="rId79" Type="http://schemas.openxmlformats.org/officeDocument/2006/relationships/hyperlink" Target="https://www.youtube.com/watch?v=WJhCa12UTsg" TargetMode="External"/><Relationship Id="rId80" Type="http://schemas.openxmlformats.org/officeDocument/2006/relationships/hyperlink" Target="https://www.youtube.com/watch?v=AMKzXZphgyo" TargetMode="External"/><Relationship Id="rId81" Type="http://schemas.openxmlformats.org/officeDocument/2006/relationships/hyperlink" Target="https://www.youtube.com/watch?v=UQdtUaeZWLo" TargetMode="External"/><Relationship Id="rId82" Type="http://schemas.openxmlformats.org/officeDocument/2006/relationships/hyperlink" Target="https://www.youtube.com/watch?v=ul-c6a4QkiU" TargetMode="External"/><Relationship Id="rId83" Type="http://schemas.openxmlformats.org/officeDocument/2006/relationships/hyperlink" Target="https://www.youtube.com/watch?v=jLOuMXnM5wk" TargetMode="External"/><Relationship Id="rId84" Type="http://schemas.openxmlformats.org/officeDocument/2006/relationships/hyperlink" Target="https://www.youtube.com/watch?v=YtCpZnBhWZ0" TargetMode="External"/><Relationship Id="rId85" Type="http://schemas.openxmlformats.org/officeDocument/2006/relationships/hyperlink" Target="https://www.youtube.com/watch?v=56F0Y33QZnQ" TargetMode="External"/><Relationship Id="rId86" Type="http://schemas.openxmlformats.org/officeDocument/2006/relationships/hyperlink" Target="https://www.youtube.com/watch?v=_gTgloPR0Aw" TargetMode="External"/><Relationship Id="rId87" Type="http://schemas.openxmlformats.org/officeDocument/2006/relationships/hyperlink" Target="https://www.youtube.com/watch?v=uJ_d-UD0xPE" TargetMode="External"/><Relationship Id="rId88" Type="http://schemas.openxmlformats.org/officeDocument/2006/relationships/hyperlink" Target="https://www.youtube.com/watch?v=PN4moDNE-Kg" TargetMode="External"/><Relationship Id="rId89" Type="http://schemas.openxmlformats.org/officeDocument/2006/relationships/hyperlink" Target="https://www.youtube.com/watch?v=H5DhD5Nwl_0" TargetMode="External"/><Relationship Id="rId90" Type="http://schemas.openxmlformats.org/officeDocument/2006/relationships/hyperlink" Target="https://www.youtube.com/watch?v=yYPnos84NDY" TargetMode="External"/><Relationship Id="rId91" Type="http://schemas.openxmlformats.org/officeDocument/2006/relationships/hyperlink" Target="https://www.youtube.com/watch?v=8hgEorF0vyY" TargetMode="External"/><Relationship Id="rId92" Type="http://schemas.openxmlformats.org/officeDocument/2006/relationships/hyperlink" Target="https://www.youtube.com/watch?v=7dm2AsJ3-E8" TargetMode="External"/><Relationship Id="rId93" Type="http://schemas.openxmlformats.org/officeDocument/2006/relationships/hyperlink" Target="https://www.youtube.com/watch?v=B-ukcWJzXwc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7A7B"/>
    <pageSetUpPr fitToPage="false"/>
  </sheetPr>
  <dimension ref="B2:M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3" min="11" style="0" width="13"/>
  </cols>
  <sheetData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3" t="s">
        <v>2</v>
      </c>
      <c r="C5" s="3"/>
      <c r="D5" s="3"/>
      <c r="E5" s="3" t="s">
        <v>3</v>
      </c>
      <c r="F5" s="3"/>
      <c r="G5" s="3"/>
      <c r="H5" s="3" t="s">
        <v>4</v>
      </c>
      <c r="I5" s="3"/>
      <c r="J5" s="3"/>
      <c r="K5" s="4" t="s">
        <v>5</v>
      </c>
      <c r="L5" s="4"/>
      <c r="M5" s="4"/>
    </row>
    <row r="6" customFormat="false" ht="26.8" hidden="false" customHeight="false" outlineLevel="0" collapsed="false">
      <c r="B6" s="5" t="n">
        <f aca="false">COUNTA(Data!A2:A94)</f>
        <v>93</v>
      </c>
      <c r="C6" s="5"/>
      <c r="D6" s="5"/>
      <c r="E6" s="5" t="n">
        <f aca="false">COUNTIF(Data!M2:M94,"Outlier")</f>
        <v>18</v>
      </c>
      <c r="F6" s="5"/>
      <c r="G6" s="5"/>
      <c r="H6" s="5" t="n">
        <f aca="false">COUNTIF(Data!M2:M94,"Underperformer")</f>
        <v>13</v>
      </c>
      <c r="I6" s="5"/>
      <c r="J6" s="5"/>
      <c r="K6" s="6" t="str">
        <f aca="false">INDEX('Pivot Tables'!A6:A10,MATCH(MAX('Pivot Tables'!C6:C10),'Pivot Tables'!C6:C10,0))</f>
        <v>Health/Psychology</v>
      </c>
      <c r="L6" s="6"/>
      <c r="M6" s="6"/>
    </row>
    <row r="7" customFormat="false" ht="7.5" hidden="false" customHeight="true" outlineLevel="0" collapsed="false"/>
  </sheetData>
  <mergeCells count="10">
    <mergeCell ref="B2:J2"/>
    <mergeCell ref="B3:J3"/>
    <mergeCell ref="B5:D5"/>
    <mergeCell ref="E5:G5"/>
    <mergeCell ref="H5:J5"/>
    <mergeCell ref="K5:M5"/>
    <mergeCell ref="B6:D6"/>
    <mergeCell ref="E6:G6"/>
    <mergeCell ref="H6:J6"/>
    <mergeCell ref="K6:M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10" min="9" style="0" width="12"/>
    <col collapsed="false" customWidth="true" hidden="false" outlineLevel="0" max="12" min="11" style="0" width="14"/>
    <col collapsed="false" customWidth="true" hidden="false" outlineLevel="0" max="13" min="13" style="0" width="7"/>
    <col collapsed="false" customWidth="true" hidden="false" outlineLevel="0" max="14" min="14" style="0" width="11"/>
    <col collapsed="false" customWidth="true" hidden="false" outlineLevel="0" max="15" min="15" style="0" width="17"/>
    <col collapsed="false" customWidth="true" hidden="false" outlineLevel="0" max="16" min="16" style="0" width="15"/>
    <col collapsed="false" customWidth="true" hidden="false" outlineLevel="0" max="17" min="17" style="0" width="28"/>
  </cols>
  <sheetData>
    <row r="1" customFormat="false" ht="15" hidden="false" customHeight="false" outlineLevel="0" collapsed="false">
      <c r="A1" s="7" t="s">
        <v>6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15</v>
      </c>
      <c r="K1" s="7" t="s">
        <v>16</v>
      </c>
      <c r="L1" s="7" t="s">
        <v>17</v>
      </c>
      <c r="M1" s="7" t="s">
        <v>18</v>
      </c>
      <c r="N1" s="7" t="s">
        <v>19</v>
      </c>
      <c r="O1" s="7" t="s">
        <v>20</v>
      </c>
      <c r="P1" s="7" t="s">
        <v>21</v>
      </c>
      <c r="Q1" s="7" t="s">
        <v>22</v>
      </c>
    </row>
    <row r="2" customFormat="false" ht="15" hidden="false" customHeight="false" outlineLevel="0" collapsed="false">
      <c r="A2" s="8" t="s">
        <v>23</v>
      </c>
      <c r="B2" s="9" t="n">
        <v>46289</v>
      </c>
      <c r="C2" s="8" t="n">
        <v>318509</v>
      </c>
      <c r="D2" s="8" t="n">
        <v>347</v>
      </c>
      <c r="E2" s="10" t="s">
        <v>24</v>
      </c>
      <c r="F2" s="9" t="n">
        <v>46293</v>
      </c>
      <c r="G2" s="11" t="b">
        <f aca="false">FALSE()</f>
        <v>0</v>
      </c>
      <c r="H2" s="8" t="n">
        <v>4</v>
      </c>
      <c r="I2" s="8" t="n">
        <v>79627.25</v>
      </c>
      <c r="J2" s="8" t="s">
        <v>25</v>
      </c>
      <c r="K2" s="8" t="n">
        <v>638901.5</v>
      </c>
      <c r="L2" s="8" t="n">
        <v>0.4985259856</v>
      </c>
      <c r="M2" s="8" t="s">
        <v>26</v>
      </c>
      <c r="N2" s="8" t="s">
        <v>27</v>
      </c>
      <c r="O2" s="8" t="s">
        <v>28</v>
      </c>
      <c r="P2" s="8" t="s">
        <v>29</v>
      </c>
      <c r="Q2" s="11" t="b">
        <f aca="false">FALSE()</f>
        <v>0</v>
      </c>
    </row>
    <row r="3" customFormat="false" ht="15" hidden="false" customHeight="false" outlineLevel="0" collapsed="false">
      <c r="A3" s="8" t="s">
        <v>30</v>
      </c>
      <c r="B3" s="9" t="n">
        <v>46287</v>
      </c>
      <c r="C3" s="8" t="n">
        <v>1609741</v>
      </c>
      <c r="D3" s="8" t="n">
        <v>326</v>
      </c>
      <c r="E3" s="10" t="s">
        <v>31</v>
      </c>
      <c r="F3" s="9" t="n">
        <v>46293</v>
      </c>
      <c r="G3" s="11" t="b">
        <f aca="false">FALSE()</f>
        <v>0</v>
      </c>
      <c r="H3" s="8" t="n">
        <v>6</v>
      </c>
      <c r="I3" s="8" t="n">
        <v>268290.1667</v>
      </c>
      <c r="J3" s="8" t="s">
        <v>25</v>
      </c>
      <c r="K3" s="8" t="n">
        <v>638901.5</v>
      </c>
      <c r="L3" s="8" t="n">
        <v>2.519544875</v>
      </c>
      <c r="M3" s="8" t="s">
        <v>32</v>
      </c>
      <c r="N3" s="8" t="s">
        <v>33</v>
      </c>
      <c r="O3" s="8" t="s">
        <v>34</v>
      </c>
      <c r="P3" s="8" t="s">
        <v>35</v>
      </c>
      <c r="Q3" s="11" t="b">
        <f aca="false">FALSE()</f>
        <v>0</v>
      </c>
    </row>
    <row r="4" customFormat="false" ht="15" hidden="false" customHeight="false" outlineLevel="0" collapsed="false">
      <c r="A4" s="8" t="s">
        <v>36</v>
      </c>
      <c r="B4" s="9" t="n">
        <v>46282</v>
      </c>
      <c r="C4" s="8" t="n">
        <v>418323</v>
      </c>
      <c r="D4" s="8" t="n">
        <v>390</v>
      </c>
      <c r="E4" s="10" t="s">
        <v>37</v>
      </c>
      <c r="F4" s="9" t="n">
        <v>46293</v>
      </c>
      <c r="G4" s="11" t="b">
        <f aca="false">FALSE()</f>
        <v>0</v>
      </c>
      <c r="H4" s="8" t="n">
        <v>11</v>
      </c>
      <c r="I4" s="8" t="n">
        <v>38029.36364</v>
      </c>
      <c r="J4" s="8" t="s">
        <v>25</v>
      </c>
      <c r="K4" s="8" t="n">
        <v>638901.5</v>
      </c>
      <c r="L4" s="8" t="n">
        <v>0.6547535105</v>
      </c>
      <c r="M4" s="8"/>
      <c r="N4" s="8" t="s">
        <v>27</v>
      </c>
      <c r="O4" s="8" t="s">
        <v>34</v>
      </c>
      <c r="P4" s="8" t="s">
        <v>29</v>
      </c>
      <c r="Q4" s="11" t="b">
        <f aca="false">FALSE()</f>
        <v>0</v>
      </c>
    </row>
    <row r="5" customFormat="false" ht="15" hidden="false" customHeight="false" outlineLevel="0" collapsed="false">
      <c r="A5" s="8" t="s">
        <v>38</v>
      </c>
      <c r="B5" s="9" t="n">
        <v>46280</v>
      </c>
      <c r="C5" s="8" t="n">
        <v>542871</v>
      </c>
      <c r="D5" s="8" t="n">
        <v>569</v>
      </c>
      <c r="E5" s="10" t="s">
        <v>39</v>
      </c>
      <c r="F5" s="9" t="n">
        <v>46293</v>
      </c>
      <c r="G5" s="11" t="b">
        <f aca="false">FALSE()</f>
        <v>0</v>
      </c>
      <c r="H5" s="8" t="n">
        <v>13</v>
      </c>
      <c r="I5" s="8" t="n">
        <v>41759.30769</v>
      </c>
      <c r="J5" s="8" t="s">
        <v>25</v>
      </c>
      <c r="K5" s="8" t="n">
        <v>638901.5</v>
      </c>
      <c r="L5" s="8" t="n">
        <v>0.8496943582</v>
      </c>
      <c r="M5" s="8"/>
      <c r="N5" s="8" t="s">
        <v>27</v>
      </c>
      <c r="O5" s="8" t="s">
        <v>40</v>
      </c>
      <c r="P5" s="8" t="s">
        <v>35</v>
      </c>
      <c r="Q5" s="11" t="b">
        <f aca="false">FALSE()</f>
        <v>0</v>
      </c>
    </row>
    <row r="6" customFormat="false" ht="15" hidden="false" customHeight="false" outlineLevel="0" collapsed="false">
      <c r="A6" s="8" t="s">
        <v>41</v>
      </c>
      <c r="B6" s="9" t="n">
        <v>46275</v>
      </c>
      <c r="C6" s="8" t="n">
        <v>1506892</v>
      </c>
      <c r="D6" s="8" t="n">
        <v>354</v>
      </c>
      <c r="E6" s="10" t="s">
        <v>42</v>
      </c>
      <c r="F6" s="9" t="n">
        <v>46293</v>
      </c>
      <c r="G6" s="11" t="b">
        <f aca="false">FALSE()</f>
        <v>0</v>
      </c>
      <c r="H6" s="8" t="n">
        <v>18</v>
      </c>
      <c r="I6" s="8" t="n">
        <v>83716.22222</v>
      </c>
      <c r="J6" s="8" t="s">
        <v>25</v>
      </c>
      <c r="K6" s="8" t="n">
        <v>638901.5</v>
      </c>
      <c r="L6" s="8" t="n">
        <v>2.358567009</v>
      </c>
      <c r="M6" s="8" t="s">
        <v>32</v>
      </c>
      <c r="N6" s="8" t="s">
        <v>43</v>
      </c>
      <c r="O6" s="8" t="s">
        <v>34</v>
      </c>
      <c r="P6" s="8" t="s">
        <v>35</v>
      </c>
      <c r="Q6" s="11" t="b">
        <f aca="false">FALSE()</f>
        <v>0</v>
      </c>
    </row>
    <row r="7" customFormat="false" ht="15" hidden="false" customHeight="false" outlineLevel="0" collapsed="false">
      <c r="A7" s="8" t="s">
        <v>44</v>
      </c>
      <c r="B7" s="9" t="n">
        <v>46273</v>
      </c>
      <c r="C7" s="8" t="n">
        <v>734932</v>
      </c>
      <c r="D7" s="8" t="n">
        <v>345</v>
      </c>
      <c r="E7" s="10" t="s">
        <v>45</v>
      </c>
      <c r="F7" s="9" t="n">
        <v>46293</v>
      </c>
      <c r="G7" s="11" t="b">
        <f aca="false">FALSE()</f>
        <v>0</v>
      </c>
      <c r="H7" s="8" t="n">
        <v>20</v>
      </c>
      <c r="I7" s="8" t="n">
        <v>36746.6</v>
      </c>
      <c r="J7" s="8" t="s">
        <v>25</v>
      </c>
      <c r="K7" s="8" t="n">
        <v>638901.5</v>
      </c>
      <c r="L7" s="8" t="n">
        <v>1.150305642</v>
      </c>
      <c r="M7" s="8"/>
      <c r="N7" s="8" t="s">
        <v>43</v>
      </c>
      <c r="O7" s="8" t="s">
        <v>34</v>
      </c>
      <c r="P7" s="8" t="s">
        <v>35</v>
      </c>
      <c r="Q7" s="11" t="b">
        <f aca="false">FALSE()</f>
        <v>0</v>
      </c>
    </row>
    <row r="8" customFormat="false" ht="15" hidden="false" customHeight="false" outlineLevel="0" collapsed="false">
      <c r="A8" s="8" t="s">
        <v>46</v>
      </c>
      <c r="B8" s="9" t="n">
        <v>46268</v>
      </c>
      <c r="C8" s="8" t="n">
        <v>748587</v>
      </c>
      <c r="D8" s="8" t="n">
        <v>340</v>
      </c>
      <c r="E8" s="10" t="s">
        <v>47</v>
      </c>
      <c r="F8" s="9" t="n">
        <v>46293</v>
      </c>
      <c r="G8" s="11" t="b">
        <f aca="false">FALSE()</f>
        <v>0</v>
      </c>
      <c r="H8" s="8" t="n">
        <v>25</v>
      </c>
      <c r="I8" s="8" t="n">
        <v>29943.48</v>
      </c>
      <c r="J8" s="8" t="s">
        <v>25</v>
      </c>
      <c r="K8" s="8" t="n">
        <v>638901.5</v>
      </c>
      <c r="L8" s="8" t="n">
        <v>1.171678263</v>
      </c>
      <c r="M8" s="8"/>
      <c r="N8" s="8" t="s">
        <v>43</v>
      </c>
      <c r="O8" s="8" t="s">
        <v>40</v>
      </c>
      <c r="P8" s="8" t="s">
        <v>29</v>
      </c>
      <c r="Q8" s="11" t="b">
        <f aca="false">FALSE()</f>
        <v>0</v>
      </c>
    </row>
    <row r="9" customFormat="false" ht="15" hidden="false" customHeight="false" outlineLevel="0" collapsed="false">
      <c r="A9" s="8" t="s">
        <v>48</v>
      </c>
      <c r="B9" s="9" t="n">
        <v>46266</v>
      </c>
      <c r="C9" s="8" t="n">
        <v>522620</v>
      </c>
      <c r="D9" s="8" t="n">
        <v>306</v>
      </c>
      <c r="E9" s="10" t="s">
        <v>49</v>
      </c>
      <c r="F9" s="9" t="n">
        <v>46293</v>
      </c>
      <c r="G9" s="11" t="b">
        <f aca="false">FALSE()</f>
        <v>0</v>
      </c>
      <c r="H9" s="8" t="n">
        <v>27</v>
      </c>
      <c r="I9" s="8" t="n">
        <v>19356.2963</v>
      </c>
      <c r="J9" s="8" t="s">
        <v>25</v>
      </c>
      <c r="K9" s="8" t="n">
        <v>638901.5</v>
      </c>
      <c r="L9" s="8" t="n">
        <v>0.8179977665</v>
      </c>
      <c r="M9" s="8"/>
      <c r="N9" s="8" t="s">
        <v>33</v>
      </c>
      <c r="O9" s="8" t="s">
        <v>50</v>
      </c>
      <c r="P9" s="8" t="s">
        <v>35</v>
      </c>
      <c r="Q9" s="11" t="b">
        <f aca="false">FALSE()</f>
        <v>0</v>
      </c>
    </row>
    <row r="10" customFormat="false" ht="15" hidden="false" customHeight="false" outlineLevel="0" collapsed="false">
      <c r="A10" s="8" t="s">
        <v>51</v>
      </c>
      <c r="B10" s="9" t="n">
        <v>46259</v>
      </c>
      <c r="C10" s="8" t="n">
        <v>498616</v>
      </c>
      <c r="D10" s="8" t="n">
        <v>340</v>
      </c>
      <c r="E10" s="10" t="s">
        <v>52</v>
      </c>
      <c r="F10" s="9" t="n">
        <v>46293</v>
      </c>
      <c r="G10" s="11" t="b">
        <f aca="false">FALSE()</f>
        <v>0</v>
      </c>
      <c r="H10" s="8" t="n">
        <v>34</v>
      </c>
      <c r="I10" s="8" t="n">
        <v>14665.17647</v>
      </c>
      <c r="J10" s="8" t="s">
        <v>53</v>
      </c>
      <c r="K10" s="8" t="n">
        <v>351837</v>
      </c>
      <c r="L10" s="8" t="n">
        <v>1.417178978</v>
      </c>
      <c r="M10" s="8"/>
      <c r="N10" s="8" t="s">
        <v>27</v>
      </c>
      <c r="O10" s="8" t="s">
        <v>54</v>
      </c>
      <c r="P10" s="8" t="s">
        <v>29</v>
      </c>
      <c r="Q10" s="11" t="b">
        <f aca="false">FALSE()</f>
        <v>0</v>
      </c>
    </row>
    <row r="11" customFormat="false" ht="15" hidden="false" customHeight="false" outlineLevel="0" collapsed="false">
      <c r="A11" s="8" t="s">
        <v>55</v>
      </c>
      <c r="B11" s="9" t="n">
        <v>46252</v>
      </c>
      <c r="C11" s="8" t="n">
        <v>214746</v>
      </c>
      <c r="D11" s="8" t="n">
        <v>280</v>
      </c>
      <c r="E11" s="10" t="s">
        <v>56</v>
      </c>
      <c r="F11" s="9" t="n">
        <v>46293</v>
      </c>
      <c r="G11" s="11" t="b">
        <f aca="false">FALSE()</f>
        <v>0</v>
      </c>
      <c r="H11" s="8" t="n">
        <v>41</v>
      </c>
      <c r="I11" s="8" t="n">
        <v>5237.707317</v>
      </c>
      <c r="J11" s="8" t="s">
        <v>53</v>
      </c>
      <c r="K11" s="8" t="n">
        <v>351837</v>
      </c>
      <c r="L11" s="8" t="n">
        <v>0.6103565003</v>
      </c>
      <c r="M11" s="8"/>
      <c r="N11" s="8" t="s">
        <v>27</v>
      </c>
      <c r="O11" s="8" t="s">
        <v>54</v>
      </c>
      <c r="P11" s="8" t="s">
        <v>29</v>
      </c>
      <c r="Q11" s="11" t="b">
        <f aca="false">FALSE()</f>
        <v>0</v>
      </c>
    </row>
    <row r="12" customFormat="false" ht="15" hidden="false" customHeight="false" outlineLevel="0" collapsed="false">
      <c r="A12" s="8" t="s">
        <v>57</v>
      </c>
      <c r="B12" s="9" t="n">
        <v>46245</v>
      </c>
      <c r="C12" s="8" t="n">
        <v>310012</v>
      </c>
      <c r="D12" s="8" t="n">
        <v>388</v>
      </c>
      <c r="E12" s="10" t="s">
        <v>58</v>
      </c>
      <c r="F12" s="9" t="n">
        <v>46293</v>
      </c>
      <c r="G12" s="11" t="b">
        <f aca="false">FALSE()</f>
        <v>0</v>
      </c>
      <c r="H12" s="8" t="n">
        <v>48</v>
      </c>
      <c r="I12" s="8" t="n">
        <v>6458.583333</v>
      </c>
      <c r="J12" s="8" t="s">
        <v>53</v>
      </c>
      <c r="K12" s="8" t="n">
        <v>351837</v>
      </c>
      <c r="L12" s="8" t="n">
        <v>0.8811239295</v>
      </c>
      <c r="M12" s="8"/>
      <c r="N12" s="8" t="s">
        <v>43</v>
      </c>
      <c r="O12" s="8" t="s">
        <v>28</v>
      </c>
      <c r="P12" s="8" t="s">
        <v>29</v>
      </c>
      <c r="Q12" s="11" t="b">
        <f aca="false">FALSE()</f>
        <v>0</v>
      </c>
    </row>
    <row r="13" customFormat="false" ht="15" hidden="false" customHeight="false" outlineLevel="0" collapsed="false">
      <c r="A13" s="8" t="s">
        <v>59</v>
      </c>
      <c r="B13" s="9" t="n">
        <v>46238</v>
      </c>
      <c r="C13" s="8" t="n">
        <v>351837</v>
      </c>
      <c r="D13" s="8" t="n">
        <v>358</v>
      </c>
      <c r="E13" s="10" t="s">
        <v>60</v>
      </c>
      <c r="F13" s="9" t="n">
        <v>46293</v>
      </c>
      <c r="G13" s="11" t="b">
        <f aca="false">FALSE()</f>
        <v>0</v>
      </c>
      <c r="H13" s="8" t="n">
        <v>55</v>
      </c>
      <c r="I13" s="8" t="n">
        <v>6397.036364</v>
      </c>
      <c r="J13" s="8" t="s">
        <v>53</v>
      </c>
      <c r="K13" s="8" t="n">
        <v>351837</v>
      </c>
      <c r="L13" s="8" t="n">
        <v>1</v>
      </c>
      <c r="M13" s="8"/>
      <c r="N13" s="8" t="s">
        <v>27</v>
      </c>
      <c r="O13" s="8" t="s">
        <v>28</v>
      </c>
      <c r="P13" s="8" t="s">
        <v>35</v>
      </c>
      <c r="Q13" s="11" t="b">
        <f aca="false">FALSE()</f>
        <v>0</v>
      </c>
    </row>
    <row r="14" customFormat="false" ht="15" hidden="false" customHeight="false" outlineLevel="0" collapsed="false">
      <c r="A14" s="8" t="s">
        <v>61</v>
      </c>
      <c r="B14" s="9" t="n">
        <v>46231</v>
      </c>
      <c r="C14" s="8" t="n">
        <v>288789</v>
      </c>
      <c r="D14" s="8" t="n">
        <v>401</v>
      </c>
      <c r="E14" s="10" t="s">
        <v>62</v>
      </c>
      <c r="F14" s="9" t="n">
        <v>46293</v>
      </c>
      <c r="G14" s="11" t="b">
        <f aca="false">FALSE()</f>
        <v>0</v>
      </c>
      <c r="H14" s="8" t="n">
        <v>62</v>
      </c>
      <c r="I14" s="8" t="n">
        <v>4657.887097</v>
      </c>
      <c r="J14" s="8" t="s">
        <v>53</v>
      </c>
      <c r="K14" s="8" t="n">
        <v>351837</v>
      </c>
      <c r="L14" s="8" t="n">
        <v>0.8208033834</v>
      </c>
      <c r="M14" s="8"/>
      <c r="N14" s="8" t="s">
        <v>27</v>
      </c>
      <c r="O14" s="8" t="s">
        <v>54</v>
      </c>
      <c r="P14" s="8" t="s">
        <v>29</v>
      </c>
      <c r="Q14" s="11" t="b">
        <f aca="false">FALSE()</f>
        <v>0</v>
      </c>
    </row>
    <row r="15" customFormat="false" ht="15" hidden="false" customHeight="false" outlineLevel="0" collapsed="false">
      <c r="A15" s="8" t="s">
        <v>63</v>
      </c>
      <c r="B15" s="9" t="n">
        <v>46224</v>
      </c>
      <c r="C15" s="8" t="n">
        <v>141333</v>
      </c>
      <c r="D15" s="8" t="n">
        <v>351</v>
      </c>
      <c r="E15" s="10" t="s">
        <v>64</v>
      </c>
      <c r="F15" s="9" t="n">
        <v>46293</v>
      </c>
      <c r="G15" s="11" t="b">
        <f aca="false">FALSE()</f>
        <v>0</v>
      </c>
      <c r="H15" s="8" t="n">
        <v>69</v>
      </c>
      <c r="I15" s="8" t="n">
        <v>2048.304348</v>
      </c>
      <c r="J15" s="8" t="s">
        <v>53</v>
      </c>
      <c r="K15" s="8" t="n">
        <v>351837</v>
      </c>
      <c r="L15" s="8" t="n">
        <v>0.4017002191</v>
      </c>
      <c r="M15" s="8" t="s">
        <v>26</v>
      </c>
      <c r="N15" s="8" t="s">
        <v>27</v>
      </c>
      <c r="O15" s="8" t="s">
        <v>28</v>
      </c>
      <c r="P15" s="8" t="s">
        <v>29</v>
      </c>
      <c r="Q15" s="11" t="b">
        <f aca="false">FALSE()</f>
        <v>0</v>
      </c>
    </row>
    <row r="16" customFormat="false" ht="15" hidden="false" customHeight="false" outlineLevel="0" collapsed="false">
      <c r="A16" s="8" t="s">
        <v>65</v>
      </c>
      <c r="B16" s="9" t="n">
        <v>46217</v>
      </c>
      <c r="C16" s="8" t="n">
        <v>533755</v>
      </c>
      <c r="D16" s="8" t="n">
        <v>369</v>
      </c>
      <c r="E16" s="10" t="s">
        <v>66</v>
      </c>
      <c r="F16" s="9" t="n">
        <v>46293</v>
      </c>
      <c r="G16" s="11" t="b">
        <f aca="false">FALSE()</f>
        <v>0</v>
      </c>
      <c r="H16" s="8" t="n">
        <v>76</v>
      </c>
      <c r="I16" s="8" t="n">
        <v>7023.092105</v>
      </c>
      <c r="J16" s="8" t="s">
        <v>53</v>
      </c>
      <c r="K16" s="8" t="n">
        <v>351837</v>
      </c>
      <c r="L16" s="8" t="n">
        <v>1.51705193</v>
      </c>
      <c r="M16" s="8"/>
      <c r="N16" s="8" t="s">
        <v>43</v>
      </c>
      <c r="O16" s="8" t="s">
        <v>54</v>
      </c>
      <c r="P16" s="8" t="s">
        <v>29</v>
      </c>
      <c r="Q16" s="11" t="b">
        <f aca="false">FALSE()</f>
        <v>0</v>
      </c>
    </row>
    <row r="17" customFormat="false" ht="15" hidden="false" customHeight="false" outlineLevel="0" collapsed="false">
      <c r="A17" s="8" t="s">
        <v>67</v>
      </c>
      <c r="B17" s="9" t="n">
        <v>46210</v>
      </c>
      <c r="C17" s="8" t="n">
        <v>413731</v>
      </c>
      <c r="D17" s="8" t="n">
        <v>371</v>
      </c>
      <c r="E17" s="10" t="s">
        <v>68</v>
      </c>
      <c r="F17" s="9" t="n">
        <v>46293</v>
      </c>
      <c r="G17" s="11" t="b">
        <f aca="false">FALSE()</f>
        <v>0</v>
      </c>
      <c r="H17" s="8" t="n">
        <v>83</v>
      </c>
      <c r="I17" s="8" t="n">
        <v>4984.710843</v>
      </c>
      <c r="J17" s="8" t="s">
        <v>53</v>
      </c>
      <c r="K17" s="8" t="n">
        <v>351837</v>
      </c>
      <c r="L17" s="8" t="n">
        <v>1.175916689</v>
      </c>
      <c r="M17" s="8"/>
      <c r="N17" s="8" t="s">
        <v>43</v>
      </c>
      <c r="O17" s="8" t="s">
        <v>28</v>
      </c>
      <c r="P17" s="8" t="s">
        <v>29</v>
      </c>
      <c r="Q17" s="11" t="b">
        <f aca="false">FALSE()</f>
        <v>0</v>
      </c>
    </row>
    <row r="18" customFormat="false" ht="15" hidden="false" customHeight="false" outlineLevel="0" collapsed="false">
      <c r="A18" s="8" t="s">
        <v>69</v>
      </c>
      <c r="B18" s="9" t="n">
        <v>46203</v>
      </c>
      <c r="C18" s="8" t="n">
        <v>362764</v>
      </c>
      <c r="D18" s="8" t="n">
        <v>373</v>
      </c>
      <c r="E18" s="10" t="s">
        <v>70</v>
      </c>
      <c r="F18" s="9" t="n">
        <v>46293</v>
      </c>
      <c r="G18" s="11" t="b">
        <f aca="false">FALSE()</f>
        <v>0</v>
      </c>
      <c r="H18" s="8" t="n">
        <v>90</v>
      </c>
      <c r="I18" s="8" t="n">
        <v>4030.711111</v>
      </c>
      <c r="J18" s="8" t="s">
        <v>53</v>
      </c>
      <c r="K18" s="8" t="n">
        <v>351837</v>
      </c>
      <c r="L18" s="8" t="n">
        <v>1.031056995</v>
      </c>
      <c r="M18" s="8"/>
      <c r="N18" s="8" t="s">
        <v>27</v>
      </c>
      <c r="O18" s="8" t="s">
        <v>28</v>
      </c>
      <c r="P18" s="8" t="s">
        <v>29</v>
      </c>
      <c r="Q18" s="11" t="b">
        <f aca="false">FALSE()</f>
        <v>0</v>
      </c>
    </row>
    <row r="19" customFormat="false" ht="15" hidden="false" customHeight="false" outlineLevel="0" collapsed="false">
      <c r="A19" s="8" t="s">
        <v>71</v>
      </c>
      <c r="B19" s="9" t="n">
        <v>46198</v>
      </c>
      <c r="C19" s="8" t="n">
        <v>369379</v>
      </c>
      <c r="D19" s="8" t="n">
        <v>318</v>
      </c>
      <c r="E19" s="10" t="s">
        <v>72</v>
      </c>
      <c r="F19" s="9" t="n">
        <v>46293</v>
      </c>
      <c r="G19" s="11" t="b">
        <f aca="false">FALSE()</f>
        <v>0</v>
      </c>
      <c r="H19" s="8" t="n">
        <v>95</v>
      </c>
      <c r="I19" s="8" t="n">
        <v>3888.2</v>
      </c>
      <c r="J19" s="8" t="s">
        <v>73</v>
      </c>
      <c r="K19" s="8" t="n">
        <v>303633</v>
      </c>
      <c r="L19" s="8" t="n">
        <v>1.216531141</v>
      </c>
      <c r="M19" s="8"/>
      <c r="N19" s="8" t="s">
        <v>27</v>
      </c>
      <c r="O19" s="8" t="s">
        <v>34</v>
      </c>
      <c r="P19" s="8" t="s">
        <v>35</v>
      </c>
      <c r="Q19" s="11" t="b">
        <f aca="false">FALSE()</f>
        <v>0</v>
      </c>
    </row>
    <row r="20" customFormat="false" ht="15" hidden="false" customHeight="false" outlineLevel="0" collapsed="false">
      <c r="A20" s="8" t="s">
        <v>74</v>
      </c>
      <c r="B20" s="9" t="n">
        <v>46196</v>
      </c>
      <c r="C20" s="8" t="n">
        <v>212241</v>
      </c>
      <c r="D20" s="8" t="n">
        <v>334</v>
      </c>
      <c r="E20" s="10" t="s">
        <v>75</v>
      </c>
      <c r="F20" s="9" t="n">
        <v>46293</v>
      </c>
      <c r="G20" s="11" t="b">
        <f aca="false">FALSE()</f>
        <v>0</v>
      </c>
      <c r="H20" s="8" t="n">
        <v>97</v>
      </c>
      <c r="I20" s="8" t="n">
        <v>2188.051546</v>
      </c>
      <c r="J20" s="8" t="s">
        <v>73</v>
      </c>
      <c r="K20" s="8" t="n">
        <v>303633</v>
      </c>
      <c r="L20" s="8" t="n">
        <v>0.6990050489</v>
      </c>
      <c r="M20" s="8"/>
      <c r="N20" s="8" t="s">
        <v>27</v>
      </c>
      <c r="O20" s="8" t="s">
        <v>28</v>
      </c>
      <c r="P20" s="8" t="s">
        <v>29</v>
      </c>
      <c r="Q20" s="11" t="b">
        <f aca="false">FALSE()</f>
        <v>0</v>
      </c>
    </row>
    <row r="21" customFormat="false" ht="15" hidden="false" customHeight="false" outlineLevel="0" collapsed="false">
      <c r="A21" s="8" t="s">
        <v>76</v>
      </c>
      <c r="B21" s="9" t="n">
        <v>46191</v>
      </c>
      <c r="C21" s="8" t="n">
        <v>306322</v>
      </c>
      <c r="D21" s="8" t="n">
        <v>305</v>
      </c>
      <c r="E21" s="10" t="s">
        <v>77</v>
      </c>
      <c r="F21" s="9" t="n">
        <v>46293</v>
      </c>
      <c r="G21" s="11" t="b">
        <f aca="false">FALSE()</f>
        <v>0</v>
      </c>
      <c r="H21" s="8" t="n">
        <v>102</v>
      </c>
      <c r="I21" s="8" t="n">
        <v>3003.156863</v>
      </c>
      <c r="J21" s="8" t="s">
        <v>73</v>
      </c>
      <c r="K21" s="8" t="n">
        <v>303633</v>
      </c>
      <c r="L21" s="8" t="n">
        <v>1.008856086</v>
      </c>
      <c r="M21" s="8"/>
      <c r="N21" s="8" t="s">
        <v>43</v>
      </c>
      <c r="O21" s="8" t="s">
        <v>40</v>
      </c>
      <c r="P21" s="8" t="s">
        <v>35</v>
      </c>
      <c r="Q21" s="11" t="b">
        <f aca="false">FALSE()</f>
        <v>0</v>
      </c>
    </row>
    <row r="22" customFormat="false" ht="15" hidden="false" customHeight="false" outlineLevel="0" collapsed="false">
      <c r="A22" s="8" t="s">
        <v>78</v>
      </c>
      <c r="B22" s="9" t="n">
        <v>46189</v>
      </c>
      <c r="C22" s="8" t="n">
        <v>303633</v>
      </c>
      <c r="D22" s="8" t="n">
        <v>334</v>
      </c>
      <c r="E22" s="10" t="s">
        <v>79</v>
      </c>
      <c r="F22" s="9" t="n">
        <v>46293</v>
      </c>
      <c r="G22" s="11" t="b">
        <f aca="false">FALSE()</f>
        <v>0</v>
      </c>
      <c r="H22" s="8" t="n">
        <v>104</v>
      </c>
      <c r="I22" s="8" t="n">
        <v>2919.548077</v>
      </c>
      <c r="J22" s="8" t="s">
        <v>73</v>
      </c>
      <c r="K22" s="8" t="n">
        <v>303633</v>
      </c>
      <c r="L22" s="8" t="n">
        <v>1</v>
      </c>
      <c r="M22" s="8"/>
      <c r="N22" s="8" t="s">
        <v>27</v>
      </c>
      <c r="O22" s="8" t="s">
        <v>54</v>
      </c>
      <c r="P22" s="8" t="s">
        <v>29</v>
      </c>
      <c r="Q22" s="11" t="b">
        <f aca="false">FALSE()</f>
        <v>0</v>
      </c>
    </row>
    <row r="23" customFormat="false" ht="15" hidden="false" customHeight="false" outlineLevel="0" collapsed="false">
      <c r="A23" s="8" t="s">
        <v>80</v>
      </c>
      <c r="B23" s="9" t="n">
        <v>46184</v>
      </c>
      <c r="C23" s="8" t="n">
        <v>252082</v>
      </c>
      <c r="D23" s="8" t="n">
        <v>360</v>
      </c>
      <c r="E23" s="10" t="s">
        <v>81</v>
      </c>
      <c r="F23" s="9" t="n">
        <v>46293</v>
      </c>
      <c r="G23" s="11" t="b">
        <f aca="false">FALSE()</f>
        <v>0</v>
      </c>
      <c r="H23" s="8" t="n">
        <v>109</v>
      </c>
      <c r="I23" s="8" t="n">
        <v>2312.678899</v>
      </c>
      <c r="J23" s="8" t="s">
        <v>73</v>
      </c>
      <c r="K23" s="8" t="n">
        <v>303633</v>
      </c>
      <c r="L23" s="8" t="n">
        <v>0.8302193767</v>
      </c>
      <c r="M23" s="8"/>
      <c r="N23" s="8" t="s">
        <v>27</v>
      </c>
      <c r="O23" s="8" t="s">
        <v>28</v>
      </c>
      <c r="P23" s="8" t="s">
        <v>29</v>
      </c>
      <c r="Q23" s="11" t="b">
        <f aca="false">FALSE()</f>
        <v>0</v>
      </c>
    </row>
    <row r="24" customFormat="false" ht="15" hidden="false" customHeight="false" outlineLevel="0" collapsed="false">
      <c r="A24" s="8" t="s">
        <v>82</v>
      </c>
      <c r="B24" s="9" t="n">
        <v>46182</v>
      </c>
      <c r="C24" s="8" t="n">
        <v>170295</v>
      </c>
      <c r="D24" s="8" t="n">
        <v>338</v>
      </c>
      <c r="E24" s="10" t="s">
        <v>83</v>
      </c>
      <c r="F24" s="9" t="n">
        <v>46293</v>
      </c>
      <c r="G24" s="11" t="b">
        <f aca="false">FALSE()</f>
        <v>0</v>
      </c>
      <c r="H24" s="8" t="n">
        <v>111</v>
      </c>
      <c r="I24" s="8" t="n">
        <v>1534.189189</v>
      </c>
      <c r="J24" s="8" t="s">
        <v>73</v>
      </c>
      <c r="K24" s="8" t="n">
        <v>303633</v>
      </c>
      <c r="L24" s="8" t="n">
        <v>0.5608580095</v>
      </c>
      <c r="M24" s="8"/>
      <c r="N24" s="8" t="s">
        <v>43</v>
      </c>
      <c r="O24" s="8" t="s">
        <v>54</v>
      </c>
      <c r="P24" s="8" t="s">
        <v>29</v>
      </c>
      <c r="Q24" s="11" t="b">
        <f aca="false">FALSE()</f>
        <v>0</v>
      </c>
    </row>
    <row r="25" customFormat="false" ht="15" hidden="false" customHeight="false" outlineLevel="0" collapsed="false">
      <c r="A25" s="8" t="s">
        <v>84</v>
      </c>
      <c r="B25" s="9" t="n">
        <v>46177</v>
      </c>
      <c r="C25" s="8" t="n">
        <v>359199</v>
      </c>
      <c r="D25" s="8" t="n">
        <v>300</v>
      </c>
      <c r="E25" s="10" t="s">
        <v>85</v>
      </c>
      <c r="F25" s="9" t="n">
        <v>46293</v>
      </c>
      <c r="G25" s="11" t="b">
        <f aca="false">FALSE()</f>
        <v>0</v>
      </c>
      <c r="H25" s="8" t="n">
        <v>116</v>
      </c>
      <c r="I25" s="8" t="n">
        <v>3096.543103</v>
      </c>
      <c r="J25" s="8" t="s">
        <v>73</v>
      </c>
      <c r="K25" s="8" t="n">
        <v>303633</v>
      </c>
      <c r="L25" s="8" t="n">
        <v>1.183003824</v>
      </c>
      <c r="M25" s="8"/>
      <c r="N25" s="8" t="s">
        <v>43</v>
      </c>
      <c r="O25" s="8" t="s">
        <v>28</v>
      </c>
      <c r="P25" s="8" t="s">
        <v>29</v>
      </c>
      <c r="Q25" s="11" t="b">
        <f aca="false">FALSE()</f>
        <v>0</v>
      </c>
    </row>
    <row r="26" customFormat="false" ht="15" hidden="false" customHeight="false" outlineLevel="0" collapsed="false">
      <c r="A26" s="8" t="s">
        <v>86</v>
      </c>
      <c r="B26" s="9" t="n">
        <v>46175</v>
      </c>
      <c r="C26" s="8" t="n">
        <v>538050</v>
      </c>
      <c r="D26" s="8" t="n">
        <v>331</v>
      </c>
      <c r="E26" s="10" t="s">
        <v>87</v>
      </c>
      <c r="F26" s="9" t="n">
        <v>46293</v>
      </c>
      <c r="G26" s="11" t="b">
        <f aca="false">FALSE()</f>
        <v>0</v>
      </c>
      <c r="H26" s="8" t="n">
        <v>118</v>
      </c>
      <c r="I26" s="8" t="n">
        <v>4559.745763</v>
      </c>
      <c r="J26" s="8" t="s">
        <v>73</v>
      </c>
      <c r="K26" s="8" t="n">
        <v>303633</v>
      </c>
      <c r="L26" s="8" t="n">
        <v>1.772040588</v>
      </c>
      <c r="M26" s="8"/>
      <c r="N26" s="8" t="s">
        <v>27</v>
      </c>
      <c r="O26" s="8" t="s">
        <v>50</v>
      </c>
      <c r="P26" s="8" t="s">
        <v>29</v>
      </c>
      <c r="Q26" s="11" t="b">
        <f aca="false">FALSE()</f>
        <v>0</v>
      </c>
    </row>
    <row r="27" customFormat="false" ht="15" hidden="false" customHeight="false" outlineLevel="0" collapsed="false">
      <c r="A27" s="8" t="s">
        <v>88</v>
      </c>
      <c r="B27" s="9" t="n">
        <v>46170</v>
      </c>
      <c r="C27" s="8" t="n">
        <v>81016</v>
      </c>
      <c r="D27" s="8" t="n">
        <v>293</v>
      </c>
      <c r="E27" s="10" t="s">
        <v>89</v>
      </c>
      <c r="F27" s="9" t="n">
        <v>46293</v>
      </c>
      <c r="G27" s="11" t="b">
        <f aca="false">FALSE()</f>
        <v>0</v>
      </c>
      <c r="H27" s="8" t="n">
        <v>123</v>
      </c>
      <c r="I27" s="8" t="n">
        <v>658.6666667</v>
      </c>
      <c r="J27" s="8" t="s">
        <v>73</v>
      </c>
      <c r="K27" s="8" t="n">
        <v>303633</v>
      </c>
      <c r="L27" s="8" t="n">
        <v>0.2668221175</v>
      </c>
      <c r="M27" s="8" t="s">
        <v>26</v>
      </c>
      <c r="N27" s="8" t="s">
        <v>27</v>
      </c>
      <c r="O27" s="8" t="s">
        <v>50</v>
      </c>
      <c r="P27" s="8" t="s">
        <v>35</v>
      </c>
      <c r="Q27" s="11" t="b">
        <f aca="false">TRUE()</f>
        <v>1</v>
      </c>
    </row>
    <row r="28" customFormat="false" ht="15" hidden="false" customHeight="false" outlineLevel="0" collapsed="false">
      <c r="A28" s="8" t="s">
        <v>90</v>
      </c>
      <c r="B28" s="9" t="n">
        <v>46168</v>
      </c>
      <c r="C28" s="8" t="n">
        <v>3212951</v>
      </c>
      <c r="D28" s="8" t="n">
        <v>322</v>
      </c>
      <c r="E28" s="10" t="s">
        <v>91</v>
      </c>
      <c r="F28" s="9" t="n">
        <v>46293</v>
      </c>
      <c r="G28" s="11" t="b">
        <f aca="false">FALSE()</f>
        <v>0</v>
      </c>
      <c r="H28" s="8" t="n">
        <v>125</v>
      </c>
      <c r="I28" s="8" t="n">
        <v>25703.608</v>
      </c>
      <c r="J28" s="8" t="s">
        <v>73</v>
      </c>
      <c r="K28" s="8" t="n">
        <v>303633</v>
      </c>
      <c r="L28" s="8" t="n">
        <v>10.58169237</v>
      </c>
      <c r="M28" s="8" t="s">
        <v>32</v>
      </c>
      <c r="N28" s="8" t="s">
        <v>43</v>
      </c>
      <c r="O28" s="8" t="s">
        <v>54</v>
      </c>
      <c r="P28" s="8" t="s">
        <v>29</v>
      </c>
      <c r="Q28" s="11" t="b">
        <f aca="false">FALSE()</f>
        <v>0</v>
      </c>
    </row>
    <row r="29" customFormat="false" ht="15" hidden="false" customHeight="false" outlineLevel="0" collapsed="false">
      <c r="A29" s="8" t="s">
        <v>92</v>
      </c>
      <c r="B29" s="9" t="n">
        <v>46163</v>
      </c>
      <c r="C29" s="8" t="n">
        <v>180032</v>
      </c>
      <c r="D29" s="8" t="n">
        <v>410</v>
      </c>
      <c r="E29" s="10" t="s">
        <v>93</v>
      </c>
      <c r="F29" s="9" t="n">
        <v>46293</v>
      </c>
      <c r="G29" s="11" t="b">
        <f aca="false">FALSE()</f>
        <v>0</v>
      </c>
      <c r="H29" s="8" t="n">
        <v>130</v>
      </c>
      <c r="I29" s="8" t="n">
        <v>1384.861538</v>
      </c>
      <c r="J29" s="8" t="s">
        <v>73</v>
      </c>
      <c r="K29" s="8" t="n">
        <v>303633</v>
      </c>
      <c r="L29" s="8" t="n">
        <v>0.5929263288</v>
      </c>
      <c r="M29" s="8"/>
      <c r="N29" s="8" t="s">
        <v>27</v>
      </c>
      <c r="O29" s="8" t="s">
        <v>54</v>
      </c>
      <c r="P29" s="8" t="s">
        <v>29</v>
      </c>
      <c r="Q29" s="11" t="b">
        <f aca="false">FALSE()</f>
        <v>0</v>
      </c>
    </row>
    <row r="30" customFormat="false" ht="15" hidden="false" customHeight="false" outlineLevel="0" collapsed="false">
      <c r="A30" s="8" t="s">
        <v>94</v>
      </c>
      <c r="B30" s="9" t="n">
        <v>46161</v>
      </c>
      <c r="C30" s="8" t="n">
        <v>965552</v>
      </c>
      <c r="D30" s="8" t="n">
        <v>364</v>
      </c>
      <c r="E30" s="10" t="s">
        <v>95</v>
      </c>
      <c r="F30" s="9" t="n">
        <v>46293</v>
      </c>
      <c r="G30" s="11" t="b">
        <f aca="false">FALSE()</f>
        <v>0</v>
      </c>
      <c r="H30" s="8" t="n">
        <v>132</v>
      </c>
      <c r="I30" s="8" t="n">
        <v>7314.787879</v>
      </c>
      <c r="J30" s="8" t="s">
        <v>73</v>
      </c>
      <c r="K30" s="8" t="n">
        <v>303633</v>
      </c>
      <c r="L30" s="8" t="n">
        <v>3.179996904</v>
      </c>
      <c r="M30" s="8" t="s">
        <v>32</v>
      </c>
      <c r="N30" s="8" t="s">
        <v>43</v>
      </c>
      <c r="O30" s="8" t="s">
        <v>34</v>
      </c>
      <c r="P30" s="8" t="s">
        <v>29</v>
      </c>
      <c r="Q30" s="11" t="b">
        <f aca="false">FALSE()</f>
        <v>0</v>
      </c>
    </row>
    <row r="31" customFormat="false" ht="15" hidden="false" customHeight="false" outlineLevel="0" collapsed="false">
      <c r="A31" s="8" t="s">
        <v>96</v>
      </c>
      <c r="B31" s="9" t="n">
        <v>46156</v>
      </c>
      <c r="C31" s="8" t="n">
        <v>150744</v>
      </c>
      <c r="D31" s="8" t="n">
        <v>426</v>
      </c>
      <c r="E31" s="10" t="s">
        <v>97</v>
      </c>
      <c r="F31" s="9" t="n">
        <v>46293</v>
      </c>
      <c r="G31" s="11" t="b">
        <f aca="false">FALSE()</f>
        <v>0</v>
      </c>
      <c r="H31" s="8" t="n">
        <v>137</v>
      </c>
      <c r="I31" s="8" t="n">
        <v>1100.321168</v>
      </c>
      <c r="J31" s="8" t="s">
        <v>73</v>
      </c>
      <c r="K31" s="8" t="n">
        <v>303633</v>
      </c>
      <c r="L31" s="8" t="n">
        <v>0.4964677752</v>
      </c>
      <c r="M31" s="8" t="s">
        <v>26</v>
      </c>
      <c r="N31" s="8" t="s">
        <v>27</v>
      </c>
      <c r="O31" s="8" t="s">
        <v>50</v>
      </c>
      <c r="P31" s="8" t="s">
        <v>29</v>
      </c>
      <c r="Q31" s="11" t="b">
        <f aca="false">FALSE()</f>
        <v>0</v>
      </c>
    </row>
    <row r="32" customFormat="false" ht="15" hidden="false" customHeight="false" outlineLevel="0" collapsed="false">
      <c r="A32" s="8" t="s">
        <v>98</v>
      </c>
      <c r="B32" s="9" t="n">
        <v>46154</v>
      </c>
      <c r="C32" s="8" t="n">
        <v>1020612</v>
      </c>
      <c r="D32" s="8" t="n">
        <v>350</v>
      </c>
      <c r="E32" s="10" t="s">
        <v>99</v>
      </c>
      <c r="F32" s="9" t="n">
        <v>46293</v>
      </c>
      <c r="G32" s="11" t="b">
        <f aca="false">FALSE()</f>
        <v>0</v>
      </c>
      <c r="H32" s="8" t="n">
        <v>139</v>
      </c>
      <c r="I32" s="8" t="n">
        <v>7342.532374</v>
      </c>
      <c r="J32" s="8" t="s">
        <v>73</v>
      </c>
      <c r="K32" s="8" t="n">
        <v>303633</v>
      </c>
      <c r="L32" s="8" t="n">
        <v>3.361334242</v>
      </c>
      <c r="M32" s="8" t="s">
        <v>32</v>
      </c>
      <c r="N32" s="8" t="s">
        <v>27</v>
      </c>
      <c r="O32" s="8" t="s">
        <v>34</v>
      </c>
      <c r="P32" s="8" t="s">
        <v>35</v>
      </c>
      <c r="Q32" s="11" t="b">
        <f aca="false">FALSE()</f>
        <v>0</v>
      </c>
    </row>
    <row r="33" customFormat="false" ht="15" hidden="false" customHeight="false" outlineLevel="0" collapsed="false">
      <c r="A33" s="8" t="s">
        <v>100</v>
      </c>
      <c r="B33" s="9" t="n">
        <v>46149</v>
      </c>
      <c r="C33" s="8" t="n">
        <v>151609</v>
      </c>
      <c r="D33" s="8" t="n">
        <v>316</v>
      </c>
      <c r="E33" s="10" t="s">
        <v>101</v>
      </c>
      <c r="F33" s="9" t="n">
        <v>46293</v>
      </c>
      <c r="G33" s="11" t="b">
        <f aca="false">FALSE()</f>
        <v>0</v>
      </c>
      <c r="H33" s="8" t="n">
        <v>144</v>
      </c>
      <c r="I33" s="8" t="n">
        <v>1052.840278</v>
      </c>
      <c r="J33" s="8" t="s">
        <v>73</v>
      </c>
      <c r="K33" s="8" t="n">
        <v>303633</v>
      </c>
      <c r="L33" s="8" t="n">
        <v>0.4993166092</v>
      </c>
      <c r="M33" s="8" t="s">
        <v>26</v>
      </c>
      <c r="N33" s="8" t="s">
        <v>27</v>
      </c>
      <c r="O33" s="8" t="s">
        <v>28</v>
      </c>
      <c r="P33" s="8" t="s">
        <v>29</v>
      </c>
      <c r="Q33" s="11" t="b">
        <f aca="false">FALSE()</f>
        <v>0</v>
      </c>
    </row>
    <row r="34" customFormat="false" ht="15" hidden="false" customHeight="false" outlineLevel="0" collapsed="false">
      <c r="A34" s="8" t="s">
        <v>102</v>
      </c>
      <c r="B34" s="9" t="n">
        <v>46147</v>
      </c>
      <c r="C34" s="8" t="n">
        <v>198493</v>
      </c>
      <c r="D34" s="8" t="n">
        <v>334</v>
      </c>
      <c r="E34" s="10" t="s">
        <v>103</v>
      </c>
      <c r="F34" s="9" t="n">
        <v>46293</v>
      </c>
      <c r="G34" s="11" t="b">
        <f aca="false">FALSE()</f>
        <v>0</v>
      </c>
      <c r="H34" s="8" t="n">
        <v>146</v>
      </c>
      <c r="I34" s="8" t="n">
        <v>1359.541096</v>
      </c>
      <c r="J34" s="8" t="s">
        <v>73</v>
      </c>
      <c r="K34" s="8" t="n">
        <v>303633</v>
      </c>
      <c r="L34" s="8" t="n">
        <v>0.653726703</v>
      </c>
      <c r="M34" s="8"/>
      <c r="N34" s="8" t="s">
        <v>27</v>
      </c>
      <c r="O34" s="8" t="s">
        <v>40</v>
      </c>
      <c r="P34" s="8" t="s">
        <v>29</v>
      </c>
      <c r="Q34" s="11" t="b">
        <f aca="false">FALSE()</f>
        <v>0</v>
      </c>
    </row>
    <row r="35" customFormat="false" ht="15" hidden="false" customHeight="false" outlineLevel="0" collapsed="false">
      <c r="A35" s="8" t="s">
        <v>104</v>
      </c>
      <c r="B35" s="9" t="n">
        <v>46142</v>
      </c>
      <c r="C35" s="8" t="n">
        <v>1331207</v>
      </c>
      <c r="D35" s="8" t="n">
        <v>329</v>
      </c>
      <c r="E35" s="10" t="s">
        <v>105</v>
      </c>
      <c r="F35" s="9" t="n">
        <v>46293</v>
      </c>
      <c r="G35" s="11" t="b">
        <f aca="false">FALSE()</f>
        <v>0</v>
      </c>
      <c r="H35" s="8" t="n">
        <v>151</v>
      </c>
      <c r="I35" s="8" t="n">
        <v>8815.940397</v>
      </c>
      <c r="J35" s="8" t="s">
        <v>73</v>
      </c>
      <c r="K35" s="8" t="n">
        <v>303633</v>
      </c>
      <c r="L35" s="8" t="n">
        <v>4.384263239</v>
      </c>
      <c r="M35" s="8" t="s">
        <v>32</v>
      </c>
      <c r="N35" s="8" t="s">
        <v>27</v>
      </c>
      <c r="O35" s="8" t="s">
        <v>34</v>
      </c>
      <c r="P35" s="8" t="s">
        <v>35</v>
      </c>
      <c r="Q35" s="11" t="b">
        <f aca="false">FALSE()</f>
        <v>0</v>
      </c>
    </row>
    <row r="36" customFormat="false" ht="15" hidden="false" customHeight="false" outlineLevel="0" collapsed="false">
      <c r="A36" s="8" t="s">
        <v>106</v>
      </c>
      <c r="B36" s="9" t="n">
        <v>46140</v>
      </c>
      <c r="C36" s="8" t="n">
        <v>158925</v>
      </c>
      <c r="D36" s="8" t="n">
        <v>334</v>
      </c>
      <c r="E36" s="10" t="s">
        <v>107</v>
      </c>
      <c r="F36" s="9" t="n">
        <v>46293</v>
      </c>
      <c r="G36" s="11" t="b">
        <f aca="false">FALSE()</f>
        <v>0</v>
      </c>
      <c r="H36" s="8" t="n">
        <v>153</v>
      </c>
      <c r="I36" s="8" t="n">
        <v>1038.72549</v>
      </c>
      <c r="J36" s="8" t="s">
        <v>73</v>
      </c>
      <c r="K36" s="8" t="n">
        <v>303633</v>
      </c>
      <c r="L36" s="8" t="n">
        <v>0.5234114869</v>
      </c>
      <c r="M36" s="8"/>
      <c r="N36" s="8" t="s">
        <v>43</v>
      </c>
      <c r="O36" s="8" t="s">
        <v>50</v>
      </c>
      <c r="P36" s="8" t="s">
        <v>29</v>
      </c>
      <c r="Q36" s="11" t="b">
        <f aca="false">FALSE()</f>
        <v>0</v>
      </c>
    </row>
    <row r="37" customFormat="false" ht="15" hidden="false" customHeight="false" outlineLevel="0" collapsed="false">
      <c r="A37" s="8" t="s">
        <v>108</v>
      </c>
      <c r="B37" s="9" t="n">
        <v>46135</v>
      </c>
      <c r="C37" s="8" t="n">
        <v>74391</v>
      </c>
      <c r="D37" s="8" t="n">
        <v>361</v>
      </c>
      <c r="E37" s="10" t="s">
        <v>109</v>
      </c>
      <c r="F37" s="9" t="n">
        <v>46293</v>
      </c>
      <c r="G37" s="11" t="b">
        <f aca="false">FALSE()</f>
        <v>0</v>
      </c>
      <c r="H37" s="8" t="n">
        <v>158</v>
      </c>
      <c r="I37" s="8" t="n">
        <v>470.8291139</v>
      </c>
      <c r="J37" s="8" t="s">
        <v>73</v>
      </c>
      <c r="K37" s="8" t="n">
        <v>303633</v>
      </c>
      <c r="L37" s="8" t="n">
        <v>0.2450030135</v>
      </c>
      <c r="M37" s="8" t="s">
        <v>26</v>
      </c>
      <c r="N37" s="8" t="s">
        <v>27</v>
      </c>
      <c r="O37" s="8" t="s">
        <v>50</v>
      </c>
      <c r="P37" s="8" t="s">
        <v>35</v>
      </c>
      <c r="Q37" s="11" t="b">
        <f aca="false">TRUE()</f>
        <v>1</v>
      </c>
    </row>
    <row r="38" customFormat="false" ht="15" hidden="false" customHeight="false" outlineLevel="0" collapsed="false">
      <c r="A38" s="8" t="s">
        <v>110</v>
      </c>
      <c r="B38" s="9" t="n">
        <v>46135</v>
      </c>
      <c r="C38" s="8" t="n">
        <v>38310</v>
      </c>
      <c r="D38" s="8" t="n">
        <v>44</v>
      </c>
      <c r="E38" s="10" t="s">
        <v>111</v>
      </c>
      <c r="F38" s="9" t="n">
        <v>46293</v>
      </c>
      <c r="G38" s="11" t="b">
        <f aca="false">TRUE()</f>
        <v>1</v>
      </c>
      <c r="H38" s="8" t="n">
        <v>158</v>
      </c>
      <c r="I38" s="8" t="n">
        <v>242.4683544</v>
      </c>
      <c r="J38" s="8" t="s">
        <v>73</v>
      </c>
      <c r="K38" s="8"/>
      <c r="L38" s="8"/>
      <c r="M38" s="8"/>
      <c r="N38" s="8" t="s">
        <v>43</v>
      </c>
      <c r="O38" s="8" t="s">
        <v>50</v>
      </c>
      <c r="P38" s="8" t="s">
        <v>35</v>
      </c>
      <c r="Q38" s="11" t="b">
        <f aca="false">FALSE()</f>
        <v>0</v>
      </c>
    </row>
    <row r="39" customFormat="false" ht="15" hidden="false" customHeight="false" outlineLevel="0" collapsed="false">
      <c r="A39" s="8" t="s">
        <v>112</v>
      </c>
      <c r="B39" s="9" t="n">
        <v>46133</v>
      </c>
      <c r="C39" s="8" t="n">
        <v>195973</v>
      </c>
      <c r="D39" s="8" t="n">
        <v>307</v>
      </c>
      <c r="E39" s="10" t="s">
        <v>113</v>
      </c>
      <c r="F39" s="9" t="n">
        <v>46293</v>
      </c>
      <c r="G39" s="11" t="b">
        <f aca="false">FALSE()</f>
        <v>0</v>
      </c>
      <c r="H39" s="8" t="n">
        <v>160</v>
      </c>
      <c r="I39" s="8" t="n">
        <v>1224.83125</v>
      </c>
      <c r="J39" s="8" t="s">
        <v>73</v>
      </c>
      <c r="K39" s="8" t="n">
        <v>303633</v>
      </c>
      <c r="L39" s="8" t="n">
        <v>0.6454272098</v>
      </c>
      <c r="M39" s="8"/>
      <c r="N39" s="8" t="s">
        <v>43</v>
      </c>
      <c r="O39" s="8" t="s">
        <v>50</v>
      </c>
      <c r="P39" s="8" t="s">
        <v>29</v>
      </c>
      <c r="Q39" s="11" t="b">
        <f aca="false">FALSE()</f>
        <v>0</v>
      </c>
    </row>
    <row r="40" customFormat="false" ht="15" hidden="false" customHeight="false" outlineLevel="0" collapsed="false">
      <c r="A40" s="8" t="s">
        <v>114</v>
      </c>
      <c r="B40" s="9" t="n">
        <v>46128</v>
      </c>
      <c r="C40" s="8" t="n">
        <v>2054804</v>
      </c>
      <c r="D40" s="8" t="n">
        <v>324</v>
      </c>
      <c r="E40" s="10" t="s">
        <v>115</v>
      </c>
      <c r="F40" s="9" t="n">
        <v>46293</v>
      </c>
      <c r="G40" s="11" t="b">
        <f aca="false">FALSE()</f>
        <v>0</v>
      </c>
      <c r="H40" s="8" t="n">
        <v>165</v>
      </c>
      <c r="I40" s="8" t="n">
        <v>12453.35758</v>
      </c>
      <c r="J40" s="8" t="s">
        <v>73</v>
      </c>
      <c r="K40" s="8" t="n">
        <v>303633</v>
      </c>
      <c r="L40" s="8" t="n">
        <v>6.767393531</v>
      </c>
      <c r="M40" s="8" t="s">
        <v>32</v>
      </c>
      <c r="N40" s="8" t="s">
        <v>27</v>
      </c>
      <c r="O40" s="8" t="s">
        <v>34</v>
      </c>
      <c r="P40" s="8" t="s">
        <v>35</v>
      </c>
      <c r="Q40" s="11" t="b">
        <f aca="false">FALSE()</f>
        <v>0</v>
      </c>
    </row>
    <row r="41" customFormat="false" ht="15" hidden="false" customHeight="false" outlineLevel="0" collapsed="false">
      <c r="A41" s="8" t="s">
        <v>116</v>
      </c>
      <c r="B41" s="9" t="n">
        <v>46126</v>
      </c>
      <c r="C41" s="8" t="n">
        <v>189651</v>
      </c>
      <c r="D41" s="8" t="n">
        <v>356</v>
      </c>
      <c r="E41" s="10" t="s">
        <v>117</v>
      </c>
      <c r="F41" s="9" t="n">
        <v>46293</v>
      </c>
      <c r="G41" s="11" t="b">
        <f aca="false">FALSE()</f>
        <v>0</v>
      </c>
      <c r="H41" s="8" t="n">
        <v>167</v>
      </c>
      <c r="I41" s="8" t="n">
        <v>1135.634731</v>
      </c>
      <c r="J41" s="8" t="s">
        <v>73</v>
      </c>
      <c r="K41" s="8" t="n">
        <v>303633</v>
      </c>
      <c r="L41" s="8" t="n">
        <v>0.6246060211</v>
      </c>
      <c r="M41" s="8"/>
      <c r="N41" s="8" t="s">
        <v>43</v>
      </c>
      <c r="O41" s="8" t="s">
        <v>50</v>
      </c>
      <c r="P41" s="8" t="s">
        <v>29</v>
      </c>
      <c r="Q41" s="11" t="b">
        <f aca="false">FALSE()</f>
        <v>0</v>
      </c>
    </row>
    <row r="42" customFormat="false" ht="15" hidden="false" customHeight="false" outlineLevel="0" collapsed="false">
      <c r="A42" s="8" t="s">
        <v>118</v>
      </c>
      <c r="B42" s="9" t="n">
        <v>46121</v>
      </c>
      <c r="C42" s="8" t="n">
        <v>1438133</v>
      </c>
      <c r="D42" s="8" t="n">
        <v>315</v>
      </c>
      <c r="E42" s="10" t="s">
        <v>119</v>
      </c>
      <c r="F42" s="9" t="n">
        <v>46293</v>
      </c>
      <c r="G42" s="11" t="b">
        <f aca="false">FALSE()</f>
        <v>0</v>
      </c>
      <c r="H42" s="8" t="n">
        <v>172</v>
      </c>
      <c r="I42" s="8" t="n">
        <v>8361.238372</v>
      </c>
      <c r="J42" s="8" t="s">
        <v>73</v>
      </c>
      <c r="K42" s="8" t="n">
        <v>303633</v>
      </c>
      <c r="L42" s="8" t="n">
        <v>4.736418637</v>
      </c>
      <c r="M42" s="8" t="s">
        <v>32</v>
      </c>
      <c r="N42" s="8" t="s">
        <v>43</v>
      </c>
      <c r="O42" s="8" t="s">
        <v>34</v>
      </c>
      <c r="P42" s="8" t="s">
        <v>35</v>
      </c>
      <c r="Q42" s="11" t="b">
        <f aca="false">FALSE()</f>
        <v>0</v>
      </c>
    </row>
    <row r="43" customFormat="false" ht="15" hidden="false" customHeight="false" outlineLevel="0" collapsed="false">
      <c r="A43" s="8" t="s">
        <v>120</v>
      </c>
      <c r="B43" s="9" t="n">
        <v>46119</v>
      </c>
      <c r="C43" s="8" t="n">
        <v>456058</v>
      </c>
      <c r="D43" s="8" t="n">
        <v>407</v>
      </c>
      <c r="E43" s="10" t="s">
        <v>121</v>
      </c>
      <c r="F43" s="9" t="n">
        <v>46293</v>
      </c>
      <c r="G43" s="11" t="b">
        <f aca="false">FALSE()</f>
        <v>0</v>
      </c>
      <c r="H43" s="8" t="n">
        <v>174</v>
      </c>
      <c r="I43" s="8" t="n">
        <v>2621.022989</v>
      </c>
      <c r="J43" s="8" t="s">
        <v>73</v>
      </c>
      <c r="K43" s="8" t="n">
        <v>303633</v>
      </c>
      <c r="L43" s="8" t="n">
        <v>1.502004064</v>
      </c>
      <c r="M43" s="8"/>
      <c r="N43" s="8" t="s">
        <v>43</v>
      </c>
      <c r="O43" s="8" t="s">
        <v>28</v>
      </c>
      <c r="P43" s="8" t="s">
        <v>29</v>
      </c>
      <c r="Q43" s="11" t="b">
        <f aca="false">FALSE()</f>
        <v>0</v>
      </c>
    </row>
    <row r="44" customFormat="false" ht="15" hidden="false" customHeight="false" outlineLevel="0" collapsed="false">
      <c r="A44" s="8" t="s">
        <v>122</v>
      </c>
      <c r="B44" s="9" t="n">
        <v>46114</v>
      </c>
      <c r="C44" s="8" t="n">
        <v>379430</v>
      </c>
      <c r="D44" s="8" t="n">
        <v>369</v>
      </c>
      <c r="E44" s="10" t="s">
        <v>123</v>
      </c>
      <c r="F44" s="9" t="n">
        <v>46293</v>
      </c>
      <c r="G44" s="11" t="b">
        <f aca="false">FALSE()</f>
        <v>0</v>
      </c>
      <c r="H44" s="8" t="n">
        <v>179</v>
      </c>
      <c r="I44" s="8" t="n">
        <v>2119.72067</v>
      </c>
      <c r="J44" s="8" t="s">
        <v>73</v>
      </c>
      <c r="K44" s="8" t="n">
        <v>303633</v>
      </c>
      <c r="L44" s="8" t="n">
        <v>1.249633604</v>
      </c>
      <c r="M44" s="8"/>
      <c r="N44" s="8" t="s">
        <v>27</v>
      </c>
      <c r="O44" s="8" t="s">
        <v>54</v>
      </c>
      <c r="P44" s="8" t="s">
        <v>29</v>
      </c>
      <c r="Q44" s="11" t="b">
        <f aca="false">FALSE()</f>
        <v>0</v>
      </c>
    </row>
    <row r="45" customFormat="false" ht="15" hidden="false" customHeight="false" outlineLevel="0" collapsed="false">
      <c r="A45" s="8" t="s">
        <v>124</v>
      </c>
      <c r="B45" s="9" t="n">
        <v>46112</v>
      </c>
      <c r="C45" s="8" t="n">
        <v>1696295</v>
      </c>
      <c r="D45" s="8" t="n">
        <v>337</v>
      </c>
      <c r="E45" s="10" t="s">
        <v>125</v>
      </c>
      <c r="F45" s="9" t="n">
        <v>46293</v>
      </c>
      <c r="G45" s="11" t="b">
        <f aca="false">FALSE()</f>
        <v>0</v>
      </c>
      <c r="H45" s="8" t="n">
        <v>181</v>
      </c>
      <c r="I45" s="8" t="n">
        <v>9371.79558</v>
      </c>
      <c r="J45" s="8" t="s">
        <v>126</v>
      </c>
      <c r="K45" s="8" t="n">
        <v>332236</v>
      </c>
      <c r="L45" s="8" t="n">
        <v>5.105692941</v>
      </c>
      <c r="M45" s="8" t="s">
        <v>32</v>
      </c>
      <c r="N45" s="8" t="s">
        <v>43</v>
      </c>
      <c r="O45" s="8" t="s">
        <v>34</v>
      </c>
      <c r="P45" s="8" t="s">
        <v>35</v>
      </c>
      <c r="Q45" s="11" t="b">
        <f aca="false">FALSE()</f>
        <v>0</v>
      </c>
    </row>
    <row r="46" customFormat="false" ht="15" hidden="false" customHeight="false" outlineLevel="0" collapsed="false">
      <c r="A46" s="8" t="s">
        <v>127</v>
      </c>
      <c r="B46" s="9" t="n">
        <v>46107</v>
      </c>
      <c r="C46" s="8" t="n">
        <v>88964</v>
      </c>
      <c r="D46" s="8" t="n">
        <v>464</v>
      </c>
      <c r="E46" s="10" t="s">
        <v>128</v>
      </c>
      <c r="F46" s="9" t="n">
        <v>46293</v>
      </c>
      <c r="G46" s="11" t="b">
        <f aca="false">FALSE()</f>
        <v>0</v>
      </c>
      <c r="H46" s="8" t="n">
        <v>186</v>
      </c>
      <c r="I46" s="8" t="n">
        <v>478.3010753</v>
      </c>
      <c r="J46" s="8" t="s">
        <v>126</v>
      </c>
      <c r="K46" s="8" t="n">
        <v>332236</v>
      </c>
      <c r="L46" s="8" t="n">
        <v>0.2677735104</v>
      </c>
      <c r="M46" s="8" t="s">
        <v>26</v>
      </c>
      <c r="N46" s="8" t="s">
        <v>43</v>
      </c>
      <c r="O46" s="8" t="s">
        <v>50</v>
      </c>
      <c r="P46" s="8" t="s">
        <v>29</v>
      </c>
      <c r="Q46" s="11" t="b">
        <f aca="false">TRUE()</f>
        <v>1</v>
      </c>
    </row>
    <row r="47" customFormat="false" ht="15" hidden="false" customHeight="false" outlineLevel="0" collapsed="false">
      <c r="A47" s="8" t="s">
        <v>129</v>
      </c>
      <c r="B47" s="9" t="n">
        <v>46105</v>
      </c>
      <c r="C47" s="8" t="n">
        <v>320643</v>
      </c>
      <c r="D47" s="8" t="n">
        <v>384</v>
      </c>
      <c r="E47" s="10" t="s">
        <v>130</v>
      </c>
      <c r="F47" s="9" t="n">
        <v>46293</v>
      </c>
      <c r="G47" s="11" t="b">
        <f aca="false">FALSE()</f>
        <v>0</v>
      </c>
      <c r="H47" s="8" t="n">
        <v>188</v>
      </c>
      <c r="I47" s="8" t="n">
        <v>1705.547872</v>
      </c>
      <c r="J47" s="8" t="s">
        <v>126</v>
      </c>
      <c r="K47" s="8" t="n">
        <v>332236</v>
      </c>
      <c r="L47" s="8" t="n">
        <v>0.9651061294</v>
      </c>
      <c r="M47" s="8"/>
      <c r="N47" s="8" t="s">
        <v>43</v>
      </c>
      <c r="O47" s="8" t="s">
        <v>54</v>
      </c>
      <c r="P47" s="8" t="s">
        <v>29</v>
      </c>
      <c r="Q47" s="11" t="b">
        <f aca="false">FALSE()</f>
        <v>0</v>
      </c>
    </row>
    <row r="48" customFormat="false" ht="15" hidden="false" customHeight="false" outlineLevel="0" collapsed="false">
      <c r="A48" s="8" t="s">
        <v>131</v>
      </c>
      <c r="B48" s="9" t="n">
        <v>46100</v>
      </c>
      <c r="C48" s="8" t="n">
        <v>184245</v>
      </c>
      <c r="D48" s="8" t="n">
        <v>401</v>
      </c>
      <c r="E48" s="10" t="s">
        <v>132</v>
      </c>
      <c r="F48" s="9" t="n">
        <v>46293</v>
      </c>
      <c r="G48" s="11" t="b">
        <f aca="false">FALSE()</f>
        <v>0</v>
      </c>
      <c r="H48" s="8" t="n">
        <v>193</v>
      </c>
      <c r="I48" s="8" t="n">
        <v>954.6373057</v>
      </c>
      <c r="J48" s="8" t="s">
        <v>126</v>
      </c>
      <c r="K48" s="8" t="n">
        <v>332236</v>
      </c>
      <c r="L48" s="8" t="n">
        <v>0.5545606135</v>
      </c>
      <c r="M48" s="8"/>
      <c r="N48" s="8" t="s">
        <v>43</v>
      </c>
      <c r="O48" s="8" t="s">
        <v>40</v>
      </c>
      <c r="P48" s="8" t="s">
        <v>29</v>
      </c>
      <c r="Q48" s="11" t="b">
        <f aca="false">FALSE()</f>
        <v>0</v>
      </c>
    </row>
    <row r="49" customFormat="false" ht="15" hidden="false" customHeight="false" outlineLevel="0" collapsed="false">
      <c r="A49" s="8" t="s">
        <v>133</v>
      </c>
      <c r="B49" s="9" t="n">
        <v>46098</v>
      </c>
      <c r="C49" s="8" t="n">
        <v>283672</v>
      </c>
      <c r="D49" s="8" t="n">
        <v>370</v>
      </c>
      <c r="E49" s="10" t="s">
        <v>134</v>
      </c>
      <c r="F49" s="9" t="n">
        <v>46293</v>
      </c>
      <c r="G49" s="11" t="b">
        <f aca="false">FALSE()</f>
        <v>0</v>
      </c>
      <c r="H49" s="8" t="n">
        <v>195</v>
      </c>
      <c r="I49" s="8" t="n">
        <v>1454.728205</v>
      </c>
      <c r="J49" s="8" t="s">
        <v>126</v>
      </c>
      <c r="K49" s="8" t="n">
        <v>332236</v>
      </c>
      <c r="L49" s="8" t="n">
        <v>0.8538267978</v>
      </c>
      <c r="M49" s="8"/>
      <c r="N49" s="8" t="s">
        <v>33</v>
      </c>
      <c r="O49" s="8" t="s">
        <v>34</v>
      </c>
      <c r="P49" s="8" t="s">
        <v>35</v>
      </c>
      <c r="Q49" s="11" t="b">
        <f aca="false">FALSE()</f>
        <v>0</v>
      </c>
    </row>
    <row r="50" customFormat="false" ht="15" hidden="false" customHeight="false" outlineLevel="0" collapsed="false">
      <c r="A50" s="8" t="s">
        <v>135</v>
      </c>
      <c r="B50" s="9" t="n">
        <v>46093</v>
      </c>
      <c r="C50" s="8" t="n">
        <v>777964</v>
      </c>
      <c r="D50" s="8" t="n">
        <v>304</v>
      </c>
      <c r="E50" s="10" t="s">
        <v>136</v>
      </c>
      <c r="F50" s="9" t="n">
        <v>46293</v>
      </c>
      <c r="G50" s="11" t="b">
        <f aca="false">FALSE()</f>
        <v>0</v>
      </c>
      <c r="H50" s="8" t="n">
        <v>200</v>
      </c>
      <c r="I50" s="8" t="n">
        <v>3889.82</v>
      </c>
      <c r="J50" s="8" t="s">
        <v>126</v>
      </c>
      <c r="K50" s="8" t="n">
        <v>332236</v>
      </c>
      <c r="L50" s="8" t="n">
        <v>2.341600549</v>
      </c>
      <c r="M50" s="8" t="s">
        <v>32</v>
      </c>
      <c r="N50" s="8" t="s">
        <v>43</v>
      </c>
      <c r="O50" s="8" t="s">
        <v>34</v>
      </c>
      <c r="P50" s="8" t="s">
        <v>35</v>
      </c>
      <c r="Q50" s="11" t="b">
        <f aca="false">FALSE()</f>
        <v>0</v>
      </c>
    </row>
    <row r="51" customFormat="false" ht="15" hidden="false" customHeight="false" outlineLevel="0" collapsed="false">
      <c r="A51" s="8" t="s">
        <v>137</v>
      </c>
      <c r="B51" s="9" t="n">
        <v>46091</v>
      </c>
      <c r="C51" s="8" t="n">
        <v>409393</v>
      </c>
      <c r="D51" s="8" t="n">
        <v>252</v>
      </c>
      <c r="E51" s="10" t="s">
        <v>138</v>
      </c>
      <c r="F51" s="9" t="n">
        <v>46293</v>
      </c>
      <c r="G51" s="11" t="b">
        <f aca="false">FALSE()</f>
        <v>0</v>
      </c>
      <c r="H51" s="8" t="n">
        <v>202</v>
      </c>
      <c r="I51" s="8" t="n">
        <v>2026.69802</v>
      </c>
      <c r="J51" s="8" t="s">
        <v>126</v>
      </c>
      <c r="K51" s="8" t="n">
        <v>332236</v>
      </c>
      <c r="L51" s="8" t="n">
        <v>1.232235519</v>
      </c>
      <c r="M51" s="8"/>
      <c r="N51" s="8" t="s">
        <v>43</v>
      </c>
      <c r="O51" s="8" t="s">
        <v>34</v>
      </c>
      <c r="P51" s="8" t="s">
        <v>35</v>
      </c>
      <c r="Q51" s="11" t="b">
        <f aca="false">FALSE()</f>
        <v>0</v>
      </c>
    </row>
    <row r="52" customFormat="false" ht="15" hidden="false" customHeight="false" outlineLevel="0" collapsed="false">
      <c r="A52" s="8" t="s">
        <v>139</v>
      </c>
      <c r="B52" s="9" t="n">
        <v>46086</v>
      </c>
      <c r="C52" s="8" t="n">
        <v>183997</v>
      </c>
      <c r="D52" s="8" t="n">
        <v>329</v>
      </c>
      <c r="E52" s="10" t="s">
        <v>140</v>
      </c>
      <c r="F52" s="9" t="n">
        <v>46293</v>
      </c>
      <c r="G52" s="11" t="b">
        <f aca="false">FALSE()</f>
        <v>0</v>
      </c>
      <c r="H52" s="8" t="n">
        <v>207</v>
      </c>
      <c r="I52" s="8" t="n">
        <v>888.8743961</v>
      </c>
      <c r="J52" s="8" t="s">
        <v>126</v>
      </c>
      <c r="K52" s="8" t="n">
        <v>332236</v>
      </c>
      <c r="L52" s="8" t="n">
        <v>0.5538141562</v>
      </c>
      <c r="M52" s="8"/>
      <c r="N52" s="8" t="s">
        <v>27</v>
      </c>
      <c r="O52" s="8" t="s">
        <v>34</v>
      </c>
      <c r="P52" s="8" t="s">
        <v>35</v>
      </c>
      <c r="Q52" s="11" t="b">
        <f aca="false">FALSE()</f>
        <v>0</v>
      </c>
    </row>
    <row r="53" customFormat="false" ht="15" hidden="false" customHeight="false" outlineLevel="0" collapsed="false">
      <c r="A53" s="8" t="s">
        <v>141</v>
      </c>
      <c r="B53" s="9" t="n">
        <v>46084</v>
      </c>
      <c r="C53" s="8" t="n">
        <v>153286</v>
      </c>
      <c r="D53" s="8" t="n">
        <v>298</v>
      </c>
      <c r="E53" s="10" t="s">
        <v>142</v>
      </c>
      <c r="F53" s="9" t="n">
        <v>46293</v>
      </c>
      <c r="G53" s="11" t="b">
        <f aca="false">FALSE()</f>
        <v>0</v>
      </c>
      <c r="H53" s="8" t="n">
        <v>209</v>
      </c>
      <c r="I53" s="8" t="n">
        <v>733.4258373</v>
      </c>
      <c r="J53" s="8" t="s">
        <v>126</v>
      </c>
      <c r="K53" s="8" t="n">
        <v>332236</v>
      </c>
      <c r="L53" s="8" t="n">
        <v>0.4613768526</v>
      </c>
      <c r="M53" s="8" t="s">
        <v>26</v>
      </c>
      <c r="N53" s="8" t="s">
        <v>27</v>
      </c>
      <c r="O53" s="8" t="s">
        <v>54</v>
      </c>
      <c r="P53" s="8" t="s">
        <v>29</v>
      </c>
      <c r="Q53" s="11" t="b">
        <f aca="false">FALSE()</f>
        <v>0</v>
      </c>
    </row>
    <row r="54" customFormat="false" ht="15" hidden="false" customHeight="false" outlineLevel="0" collapsed="false">
      <c r="A54" s="8" t="s">
        <v>143</v>
      </c>
      <c r="B54" s="9" t="n">
        <v>46079</v>
      </c>
      <c r="C54" s="8" t="n">
        <v>627305</v>
      </c>
      <c r="D54" s="8" t="n">
        <v>383</v>
      </c>
      <c r="E54" s="10" t="s">
        <v>144</v>
      </c>
      <c r="F54" s="9" t="n">
        <v>46293</v>
      </c>
      <c r="G54" s="11" t="b">
        <f aca="false">FALSE()</f>
        <v>0</v>
      </c>
      <c r="H54" s="8" t="n">
        <v>214</v>
      </c>
      <c r="I54" s="8" t="n">
        <v>2931.331776</v>
      </c>
      <c r="J54" s="8" t="s">
        <v>126</v>
      </c>
      <c r="K54" s="8" t="n">
        <v>332236</v>
      </c>
      <c r="L54" s="8" t="n">
        <v>1.888130726</v>
      </c>
      <c r="M54" s="8"/>
      <c r="N54" s="8" t="s">
        <v>27</v>
      </c>
      <c r="O54" s="8" t="s">
        <v>40</v>
      </c>
      <c r="P54" s="8" t="s">
        <v>35</v>
      </c>
      <c r="Q54" s="11" t="b">
        <f aca="false">FALSE()</f>
        <v>0</v>
      </c>
    </row>
    <row r="55" customFormat="false" ht="15" hidden="false" customHeight="false" outlineLevel="0" collapsed="false">
      <c r="A55" s="8" t="s">
        <v>145</v>
      </c>
      <c r="B55" s="9" t="n">
        <v>46077</v>
      </c>
      <c r="C55" s="8" t="n">
        <v>357350</v>
      </c>
      <c r="D55" s="8" t="n">
        <v>392</v>
      </c>
      <c r="E55" s="10" t="s">
        <v>146</v>
      </c>
      <c r="F55" s="9" t="n">
        <v>46293</v>
      </c>
      <c r="G55" s="11" t="b">
        <f aca="false">FALSE()</f>
        <v>0</v>
      </c>
      <c r="H55" s="8" t="n">
        <v>216</v>
      </c>
      <c r="I55" s="8" t="n">
        <v>1654.398148</v>
      </c>
      <c r="J55" s="8" t="s">
        <v>126</v>
      </c>
      <c r="K55" s="8" t="n">
        <v>332236</v>
      </c>
      <c r="L55" s="8" t="n">
        <v>1.075590845</v>
      </c>
      <c r="M55" s="8"/>
      <c r="N55" s="8" t="s">
        <v>43</v>
      </c>
      <c r="O55" s="8" t="s">
        <v>34</v>
      </c>
      <c r="P55" s="8" t="s">
        <v>29</v>
      </c>
      <c r="Q55" s="11" t="b">
        <f aca="false">FALSE()</f>
        <v>0</v>
      </c>
    </row>
    <row r="56" customFormat="false" ht="15" hidden="false" customHeight="false" outlineLevel="0" collapsed="false">
      <c r="A56" s="8" t="s">
        <v>147</v>
      </c>
      <c r="B56" s="9" t="n">
        <v>46072</v>
      </c>
      <c r="C56" s="8" t="n">
        <v>86028</v>
      </c>
      <c r="D56" s="8" t="n">
        <v>517</v>
      </c>
      <c r="E56" s="10" t="s">
        <v>148</v>
      </c>
      <c r="F56" s="9" t="n">
        <v>46293</v>
      </c>
      <c r="G56" s="11" t="b">
        <f aca="false">FALSE()</f>
        <v>0</v>
      </c>
      <c r="H56" s="8" t="n">
        <v>221</v>
      </c>
      <c r="I56" s="8" t="n">
        <v>389.2669683</v>
      </c>
      <c r="J56" s="8" t="s">
        <v>126</v>
      </c>
      <c r="K56" s="8" t="n">
        <v>332236</v>
      </c>
      <c r="L56" s="8" t="n">
        <v>0.2589364187</v>
      </c>
      <c r="M56" s="8" t="s">
        <v>26</v>
      </c>
      <c r="N56" s="8" t="s">
        <v>27</v>
      </c>
      <c r="O56" s="8" t="s">
        <v>50</v>
      </c>
      <c r="P56" s="8" t="s">
        <v>29</v>
      </c>
      <c r="Q56" s="11" t="b">
        <f aca="false">TRUE()</f>
        <v>1</v>
      </c>
    </row>
    <row r="57" customFormat="false" ht="15" hidden="false" customHeight="false" outlineLevel="0" collapsed="false">
      <c r="A57" s="8" t="s">
        <v>149</v>
      </c>
      <c r="B57" s="9" t="n">
        <v>46070</v>
      </c>
      <c r="C57" s="8" t="n">
        <v>516629</v>
      </c>
      <c r="D57" s="8" t="n">
        <v>430</v>
      </c>
      <c r="E57" s="10" t="s">
        <v>150</v>
      </c>
      <c r="F57" s="9" t="n">
        <v>46293</v>
      </c>
      <c r="G57" s="11" t="b">
        <f aca="false">FALSE()</f>
        <v>0</v>
      </c>
      <c r="H57" s="8" t="n">
        <v>223</v>
      </c>
      <c r="I57" s="8" t="n">
        <v>2316.721973</v>
      </c>
      <c r="J57" s="8" t="s">
        <v>126</v>
      </c>
      <c r="K57" s="8" t="n">
        <v>332236</v>
      </c>
      <c r="L57" s="8" t="n">
        <v>1.55500608</v>
      </c>
      <c r="M57" s="8"/>
      <c r="N57" s="8" t="s">
        <v>27</v>
      </c>
      <c r="O57" s="8" t="s">
        <v>54</v>
      </c>
      <c r="P57" s="8" t="s">
        <v>29</v>
      </c>
      <c r="Q57" s="11" t="b">
        <f aca="false">FALSE()</f>
        <v>0</v>
      </c>
    </row>
    <row r="58" customFormat="false" ht="15" hidden="false" customHeight="false" outlineLevel="0" collapsed="false">
      <c r="A58" s="8" t="s">
        <v>151</v>
      </c>
      <c r="B58" s="9" t="n">
        <v>46065</v>
      </c>
      <c r="C58" s="8" t="n">
        <v>698419</v>
      </c>
      <c r="D58" s="8" t="n">
        <v>329</v>
      </c>
      <c r="E58" s="10" t="s">
        <v>152</v>
      </c>
      <c r="F58" s="9" t="n">
        <v>46293</v>
      </c>
      <c r="G58" s="11" t="b">
        <f aca="false">FALSE()</f>
        <v>0</v>
      </c>
      <c r="H58" s="8" t="n">
        <v>228</v>
      </c>
      <c r="I58" s="8" t="n">
        <v>3063.241228</v>
      </c>
      <c r="J58" s="8" t="s">
        <v>126</v>
      </c>
      <c r="K58" s="8" t="n">
        <v>332236</v>
      </c>
      <c r="L58" s="8" t="n">
        <v>2.102177368</v>
      </c>
      <c r="M58" s="8" t="s">
        <v>32</v>
      </c>
      <c r="N58" s="8" t="s">
        <v>33</v>
      </c>
      <c r="O58" s="8" t="s">
        <v>34</v>
      </c>
      <c r="P58" s="8" t="s">
        <v>35</v>
      </c>
      <c r="Q58" s="11" t="b">
        <f aca="false">FALSE()</f>
        <v>0</v>
      </c>
    </row>
    <row r="59" customFormat="false" ht="15" hidden="false" customHeight="false" outlineLevel="0" collapsed="false">
      <c r="A59" s="8" t="s">
        <v>153</v>
      </c>
      <c r="B59" s="9" t="n">
        <v>46063</v>
      </c>
      <c r="C59" s="8" t="n">
        <v>313098</v>
      </c>
      <c r="D59" s="8" t="n">
        <v>379</v>
      </c>
      <c r="E59" s="10" t="s">
        <v>154</v>
      </c>
      <c r="F59" s="9" t="n">
        <v>46293</v>
      </c>
      <c r="G59" s="11" t="b">
        <f aca="false">FALSE()</f>
        <v>0</v>
      </c>
      <c r="H59" s="8" t="n">
        <v>230</v>
      </c>
      <c r="I59" s="8" t="n">
        <v>1361.295652</v>
      </c>
      <c r="J59" s="8" t="s">
        <v>126</v>
      </c>
      <c r="K59" s="8" t="n">
        <v>332236</v>
      </c>
      <c r="L59" s="8" t="n">
        <v>0.9423963688</v>
      </c>
      <c r="M59" s="8"/>
      <c r="N59" s="8" t="s">
        <v>27</v>
      </c>
      <c r="O59" s="8" t="s">
        <v>54</v>
      </c>
      <c r="P59" s="8" t="s">
        <v>29</v>
      </c>
      <c r="Q59" s="11" t="b">
        <f aca="false">FALSE()</f>
        <v>0</v>
      </c>
    </row>
    <row r="60" customFormat="false" ht="15" hidden="false" customHeight="false" outlineLevel="0" collapsed="false">
      <c r="A60" s="8" t="s">
        <v>155</v>
      </c>
      <c r="B60" s="9" t="n">
        <v>46058</v>
      </c>
      <c r="C60" s="8" t="n">
        <v>236378</v>
      </c>
      <c r="D60" s="8" t="n">
        <v>372</v>
      </c>
      <c r="E60" s="10" t="s">
        <v>156</v>
      </c>
      <c r="F60" s="9" t="n">
        <v>46293</v>
      </c>
      <c r="G60" s="11" t="b">
        <f aca="false">FALSE()</f>
        <v>0</v>
      </c>
      <c r="H60" s="8" t="n">
        <v>235</v>
      </c>
      <c r="I60" s="8" t="n">
        <v>1005.86383</v>
      </c>
      <c r="J60" s="8" t="s">
        <v>126</v>
      </c>
      <c r="K60" s="8" t="n">
        <v>332236</v>
      </c>
      <c r="L60" s="8" t="n">
        <v>0.7114761796</v>
      </c>
      <c r="M60" s="8"/>
      <c r="N60" s="8" t="s">
        <v>43</v>
      </c>
      <c r="O60" s="8" t="s">
        <v>34</v>
      </c>
      <c r="P60" s="8" t="s">
        <v>35</v>
      </c>
      <c r="Q60" s="11" t="b">
        <f aca="false">FALSE()</f>
        <v>0</v>
      </c>
    </row>
    <row r="61" customFormat="false" ht="15" hidden="false" customHeight="false" outlineLevel="0" collapsed="false">
      <c r="A61" s="8" t="s">
        <v>157</v>
      </c>
      <c r="B61" s="9" t="n">
        <v>46057</v>
      </c>
      <c r="C61" s="8" t="n">
        <v>30569</v>
      </c>
      <c r="D61" s="8" t="n">
        <v>91</v>
      </c>
      <c r="E61" s="10" t="s">
        <v>158</v>
      </c>
      <c r="F61" s="9" t="n">
        <v>46293</v>
      </c>
      <c r="G61" s="11" t="b">
        <f aca="false">TRUE()</f>
        <v>1</v>
      </c>
      <c r="H61" s="8" t="n">
        <v>236</v>
      </c>
      <c r="I61" s="8" t="n">
        <v>129.529661</v>
      </c>
      <c r="J61" s="8" t="s">
        <v>126</v>
      </c>
      <c r="K61" s="8"/>
      <c r="L61" s="8"/>
      <c r="M61" s="8"/>
      <c r="N61" s="8" t="s">
        <v>27</v>
      </c>
      <c r="O61" s="8" t="s">
        <v>40</v>
      </c>
      <c r="P61" s="8" t="s">
        <v>29</v>
      </c>
      <c r="Q61" s="11" t="b">
        <f aca="false">FALSE()</f>
        <v>0</v>
      </c>
    </row>
    <row r="62" customFormat="false" ht="15" hidden="false" customHeight="false" outlineLevel="0" collapsed="false">
      <c r="A62" s="8" t="s">
        <v>159</v>
      </c>
      <c r="B62" s="9" t="n">
        <v>46056</v>
      </c>
      <c r="C62" s="8" t="n">
        <v>228759</v>
      </c>
      <c r="D62" s="8" t="n">
        <v>380</v>
      </c>
      <c r="E62" s="10" t="s">
        <v>160</v>
      </c>
      <c r="F62" s="9" t="n">
        <v>46293</v>
      </c>
      <c r="G62" s="11" t="b">
        <f aca="false">FALSE()</f>
        <v>0</v>
      </c>
      <c r="H62" s="8" t="n">
        <v>237</v>
      </c>
      <c r="I62" s="8" t="n">
        <v>965.2278481</v>
      </c>
      <c r="J62" s="8" t="s">
        <v>126</v>
      </c>
      <c r="K62" s="8" t="n">
        <v>332236</v>
      </c>
      <c r="L62" s="8" t="n">
        <v>0.6885436858</v>
      </c>
      <c r="M62" s="8"/>
      <c r="N62" s="8" t="s">
        <v>43</v>
      </c>
      <c r="O62" s="8" t="s">
        <v>54</v>
      </c>
      <c r="P62" s="8" t="s">
        <v>29</v>
      </c>
      <c r="Q62" s="11" t="b">
        <f aca="false">FALSE()</f>
        <v>0</v>
      </c>
    </row>
    <row r="63" customFormat="false" ht="15" hidden="false" customHeight="false" outlineLevel="0" collapsed="false">
      <c r="A63" s="8" t="s">
        <v>161</v>
      </c>
      <c r="B63" s="9" t="n">
        <v>46051</v>
      </c>
      <c r="C63" s="8" t="n">
        <v>1056081</v>
      </c>
      <c r="D63" s="8" t="n">
        <v>357</v>
      </c>
      <c r="E63" s="10" t="s">
        <v>162</v>
      </c>
      <c r="F63" s="9" t="n">
        <v>46293</v>
      </c>
      <c r="G63" s="11" t="b">
        <f aca="false">FALSE()</f>
        <v>0</v>
      </c>
      <c r="H63" s="8" t="n">
        <v>242</v>
      </c>
      <c r="I63" s="8" t="n">
        <v>4363.971074</v>
      </c>
      <c r="J63" s="8" t="s">
        <v>126</v>
      </c>
      <c r="K63" s="8" t="n">
        <v>332236</v>
      </c>
      <c r="L63" s="8" t="n">
        <v>3.178707304</v>
      </c>
      <c r="M63" s="8" t="s">
        <v>32</v>
      </c>
      <c r="N63" s="8" t="s">
        <v>43</v>
      </c>
      <c r="O63" s="8" t="s">
        <v>34</v>
      </c>
      <c r="P63" s="8" t="s">
        <v>35</v>
      </c>
      <c r="Q63" s="11" t="b">
        <f aca="false">FALSE()</f>
        <v>0</v>
      </c>
    </row>
    <row r="64" customFormat="false" ht="15" hidden="false" customHeight="false" outlineLevel="0" collapsed="false">
      <c r="A64" s="8" t="s">
        <v>163</v>
      </c>
      <c r="B64" s="9" t="n">
        <v>46049</v>
      </c>
      <c r="C64" s="8" t="n">
        <v>194237</v>
      </c>
      <c r="D64" s="8" t="n">
        <v>357</v>
      </c>
      <c r="E64" s="10" t="s">
        <v>164</v>
      </c>
      <c r="F64" s="9" t="n">
        <v>46293</v>
      </c>
      <c r="G64" s="11" t="b">
        <f aca="false">FALSE()</f>
        <v>0</v>
      </c>
      <c r="H64" s="8" t="n">
        <v>244</v>
      </c>
      <c r="I64" s="8" t="n">
        <v>796.0532787</v>
      </c>
      <c r="J64" s="8" t="s">
        <v>126</v>
      </c>
      <c r="K64" s="8" t="n">
        <v>332236</v>
      </c>
      <c r="L64" s="8" t="n">
        <v>0.5846356205</v>
      </c>
      <c r="M64" s="8"/>
      <c r="N64" s="8" t="s">
        <v>27</v>
      </c>
      <c r="O64" s="8" t="s">
        <v>50</v>
      </c>
      <c r="P64" s="8" t="s">
        <v>29</v>
      </c>
      <c r="Q64" s="11" t="b">
        <f aca="false">FALSE()</f>
        <v>0</v>
      </c>
    </row>
    <row r="65" customFormat="false" ht="15" hidden="false" customHeight="false" outlineLevel="0" collapsed="false">
      <c r="A65" s="8" t="s">
        <v>165</v>
      </c>
      <c r="B65" s="9" t="n">
        <v>46044</v>
      </c>
      <c r="C65" s="8" t="n">
        <v>95860</v>
      </c>
      <c r="D65" s="8" t="n">
        <v>523</v>
      </c>
      <c r="E65" s="10" t="s">
        <v>166</v>
      </c>
      <c r="F65" s="9" t="n">
        <v>46293</v>
      </c>
      <c r="G65" s="11" t="b">
        <f aca="false">FALSE()</f>
        <v>0</v>
      </c>
      <c r="H65" s="8" t="n">
        <v>249</v>
      </c>
      <c r="I65" s="8" t="n">
        <v>384.9799197</v>
      </c>
      <c r="J65" s="8" t="s">
        <v>126</v>
      </c>
      <c r="K65" s="8" t="n">
        <v>332236</v>
      </c>
      <c r="L65" s="8" t="n">
        <v>0.2885298402</v>
      </c>
      <c r="M65" s="8" t="s">
        <v>26</v>
      </c>
      <c r="N65" s="8" t="s">
        <v>27</v>
      </c>
      <c r="O65" s="8" t="s">
        <v>50</v>
      </c>
      <c r="P65" s="8" t="s">
        <v>29</v>
      </c>
      <c r="Q65" s="11" t="b">
        <f aca="false">TRUE()</f>
        <v>1</v>
      </c>
    </row>
    <row r="66" customFormat="false" ht="15" hidden="false" customHeight="false" outlineLevel="0" collapsed="false">
      <c r="A66" s="8" t="s">
        <v>167</v>
      </c>
      <c r="B66" s="9" t="n">
        <v>46042</v>
      </c>
      <c r="C66" s="8" t="n">
        <v>1002355</v>
      </c>
      <c r="D66" s="8" t="n">
        <v>357</v>
      </c>
      <c r="E66" s="10" t="s">
        <v>168</v>
      </c>
      <c r="F66" s="9" t="n">
        <v>46293</v>
      </c>
      <c r="G66" s="11" t="b">
        <f aca="false">FALSE()</f>
        <v>0</v>
      </c>
      <c r="H66" s="8" t="n">
        <v>251</v>
      </c>
      <c r="I66" s="8" t="n">
        <v>3993.446215</v>
      </c>
      <c r="J66" s="8" t="s">
        <v>126</v>
      </c>
      <c r="K66" s="8" t="n">
        <v>332236</v>
      </c>
      <c r="L66" s="8" t="n">
        <v>3.016996954</v>
      </c>
      <c r="M66" s="8" t="s">
        <v>32</v>
      </c>
      <c r="N66" s="8" t="s">
        <v>27</v>
      </c>
      <c r="O66" s="8" t="s">
        <v>54</v>
      </c>
      <c r="P66" s="8" t="s">
        <v>29</v>
      </c>
      <c r="Q66" s="11" t="b">
        <f aca="false">FALSE()</f>
        <v>0</v>
      </c>
    </row>
    <row r="67" customFormat="false" ht="15" hidden="false" customHeight="false" outlineLevel="0" collapsed="false">
      <c r="A67" s="8" t="s">
        <v>169</v>
      </c>
      <c r="B67" s="9" t="n">
        <v>46037</v>
      </c>
      <c r="C67" s="8" t="n">
        <v>236740</v>
      </c>
      <c r="D67" s="8" t="n">
        <v>307</v>
      </c>
      <c r="E67" s="10" t="s">
        <v>170</v>
      </c>
      <c r="F67" s="9" t="n">
        <v>46293</v>
      </c>
      <c r="G67" s="11" t="b">
        <f aca="false">FALSE()</f>
        <v>0</v>
      </c>
      <c r="H67" s="8" t="n">
        <v>256</v>
      </c>
      <c r="I67" s="8" t="n">
        <v>924.765625</v>
      </c>
      <c r="J67" s="8" t="s">
        <v>126</v>
      </c>
      <c r="K67" s="8" t="n">
        <v>332236</v>
      </c>
      <c r="L67" s="8" t="n">
        <v>0.7125657665</v>
      </c>
      <c r="M67" s="8"/>
      <c r="N67" s="8" t="s">
        <v>27</v>
      </c>
      <c r="O67" s="8" t="s">
        <v>50</v>
      </c>
      <c r="P67" s="8" t="s">
        <v>29</v>
      </c>
      <c r="Q67" s="11" t="b">
        <f aca="false">FALSE()</f>
        <v>0</v>
      </c>
    </row>
    <row r="68" customFormat="false" ht="15" hidden="false" customHeight="false" outlineLevel="0" collapsed="false">
      <c r="A68" s="8" t="s">
        <v>171</v>
      </c>
      <c r="B68" s="9" t="n">
        <v>46035</v>
      </c>
      <c r="C68" s="8" t="n">
        <v>173338</v>
      </c>
      <c r="D68" s="8" t="n">
        <v>358</v>
      </c>
      <c r="E68" s="10" t="s">
        <v>172</v>
      </c>
      <c r="F68" s="9" t="n">
        <v>46293</v>
      </c>
      <c r="G68" s="11" t="b">
        <f aca="false">FALSE()</f>
        <v>0</v>
      </c>
      <c r="H68" s="8" t="n">
        <v>258</v>
      </c>
      <c r="I68" s="8" t="n">
        <v>671.8527132</v>
      </c>
      <c r="J68" s="8" t="s">
        <v>126</v>
      </c>
      <c r="K68" s="8" t="n">
        <v>332236</v>
      </c>
      <c r="L68" s="8" t="n">
        <v>0.5217315402</v>
      </c>
      <c r="M68" s="8"/>
      <c r="N68" s="8" t="s">
        <v>43</v>
      </c>
      <c r="O68" s="8" t="s">
        <v>28</v>
      </c>
      <c r="P68" s="8" t="s">
        <v>29</v>
      </c>
      <c r="Q68" s="11" t="b">
        <f aca="false">FALSE()</f>
        <v>0</v>
      </c>
    </row>
    <row r="69" customFormat="false" ht="15" hidden="false" customHeight="false" outlineLevel="0" collapsed="false">
      <c r="A69" s="8" t="s">
        <v>173</v>
      </c>
      <c r="B69" s="9" t="n">
        <v>46030</v>
      </c>
      <c r="C69" s="8" t="n">
        <v>594944</v>
      </c>
      <c r="D69" s="8" t="n">
        <v>317</v>
      </c>
      <c r="E69" s="10" t="s">
        <v>174</v>
      </c>
      <c r="F69" s="9" t="n">
        <v>46293</v>
      </c>
      <c r="G69" s="11" t="b">
        <f aca="false">FALSE()</f>
        <v>0</v>
      </c>
      <c r="H69" s="8" t="n">
        <v>263</v>
      </c>
      <c r="I69" s="8" t="n">
        <v>2262.144487</v>
      </c>
      <c r="J69" s="8" t="s">
        <v>126</v>
      </c>
      <c r="K69" s="8" t="n">
        <v>332236</v>
      </c>
      <c r="L69" s="8" t="n">
        <v>1.790727074</v>
      </c>
      <c r="M69" s="8"/>
      <c r="N69" s="8" t="s">
        <v>27</v>
      </c>
      <c r="O69" s="8" t="s">
        <v>54</v>
      </c>
      <c r="P69" s="8" t="s">
        <v>29</v>
      </c>
      <c r="Q69" s="11" t="b">
        <f aca="false">FALSE()</f>
        <v>0</v>
      </c>
    </row>
    <row r="70" customFormat="false" ht="15" hidden="false" customHeight="false" outlineLevel="0" collapsed="false">
      <c r="A70" s="8" t="s">
        <v>175</v>
      </c>
      <c r="B70" s="9" t="n">
        <v>46028</v>
      </c>
      <c r="C70" s="8" t="n">
        <v>409525</v>
      </c>
      <c r="D70" s="8" t="n">
        <v>355</v>
      </c>
      <c r="E70" s="10" t="s">
        <v>176</v>
      </c>
      <c r="F70" s="9" t="n">
        <v>46293</v>
      </c>
      <c r="G70" s="11" t="b">
        <f aca="false">FALSE()</f>
        <v>0</v>
      </c>
      <c r="H70" s="8" t="n">
        <v>265</v>
      </c>
      <c r="I70" s="8" t="n">
        <v>1545.377358</v>
      </c>
      <c r="J70" s="8" t="s">
        <v>126</v>
      </c>
      <c r="K70" s="8" t="n">
        <v>332236</v>
      </c>
      <c r="L70" s="8" t="n">
        <v>1.232632827</v>
      </c>
      <c r="M70" s="8"/>
      <c r="N70" s="8" t="s">
        <v>27</v>
      </c>
      <c r="O70" s="8" t="s">
        <v>54</v>
      </c>
      <c r="P70" s="8" t="s">
        <v>29</v>
      </c>
      <c r="Q70" s="11" t="b">
        <f aca="false">FALSE()</f>
        <v>0</v>
      </c>
    </row>
    <row r="71" customFormat="false" ht="15" hidden="false" customHeight="false" outlineLevel="0" collapsed="false">
      <c r="A71" s="8" t="s">
        <v>177</v>
      </c>
      <c r="B71" s="9" t="n">
        <v>46014</v>
      </c>
      <c r="C71" s="8" t="n">
        <v>188604</v>
      </c>
      <c r="D71" s="8" t="n">
        <v>456</v>
      </c>
      <c r="E71" s="10" t="s">
        <v>178</v>
      </c>
      <c r="F71" s="9" t="n">
        <v>46293</v>
      </c>
      <c r="G71" s="11" t="b">
        <f aca="false">FALSE()</f>
        <v>0</v>
      </c>
      <c r="H71" s="8" t="n">
        <v>279</v>
      </c>
      <c r="I71" s="8" t="n">
        <v>676</v>
      </c>
      <c r="J71" s="8" t="s">
        <v>126</v>
      </c>
      <c r="K71" s="8" t="n">
        <v>332236</v>
      </c>
      <c r="L71" s="8" t="n">
        <v>0.5676808052</v>
      </c>
      <c r="M71" s="8"/>
      <c r="N71" s="8" t="s">
        <v>43</v>
      </c>
      <c r="O71" s="8" t="s">
        <v>50</v>
      </c>
      <c r="P71" s="8" t="s">
        <v>35</v>
      </c>
      <c r="Q71" s="11" t="b">
        <f aca="false">TRUE()</f>
        <v>1</v>
      </c>
    </row>
    <row r="72" customFormat="false" ht="15" hidden="false" customHeight="false" outlineLevel="0" collapsed="false">
      <c r="A72" s="8" t="s">
        <v>179</v>
      </c>
      <c r="B72" s="9" t="n">
        <v>46009</v>
      </c>
      <c r="C72" s="8" t="n">
        <v>433039</v>
      </c>
      <c r="D72" s="8" t="n">
        <v>387</v>
      </c>
      <c r="E72" s="10" t="s">
        <v>180</v>
      </c>
      <c r="F72" s="9" t="n">
        <v>46293</v>
      </c>
      <c r="G72" s="11" t="b">
        <f aca="false">FALSE()</f>
        <v>0</v>
      </c>
      <c r="H72" s="8" t="n">
        <v>284</v>
      </c>
      <c r="I72" s="8" t="n">
        <v>1524.785211</v>
      </c>
      <c r="J72" s="8" t="s">
        <v>126</v>
      </c>
      <c r="K72" s="8" t="n">
        <v>332236</v>
      </c>
      <c r="L72" s="8" t="n">
        <v>1.303407819</v>
      </c>
      <c r="M72" s="8"/>
      <c r="N72" s="8" t="s">
        <v>43</v>
      </c>
      <c r="O72" s="8" t="s">
        <v>54</v>
      </c>
      <c r="P72" s="8" t="s">
        <v>29</v>
      </c>
      <c r="Q72" s="11" t="b">
        <f aca="false">FALSE()</f>
        <v>0</v>
      </c>
    </row>
    <row r="73" customFormat="false" ht="15" hidden="false" customHeight="false" outlineLevel="0" collapsed="false">
      <c r="A73" s="8" t="s">
        <v>181</v>
      </c>
      <c r="B73" s="9" t="n">
        <v>46007</v>
      </c>
      <c r="C73" s="8" t="n">
        <v>293711</v>
      </c>
      <c r="D73" s="8" t="n">
        <v>303</v>
      </c>
      <c r="E73" s="10" t="s">
        <v>182</v>
      </c>
      <c r="F73" s="9" t="n">
        <v>46293</v>
      </c>
      <c r="G73" s="11" t="b">
        <f aca="false">FALSE()</f>
        <v>0</v>
      </c>
      <c r="H73" s="8" t="n">
        <v>286</v>
      </c>
      <c r="I73" s="8" t="n">
        <v>1026.961538</v>
      </c>
      <c r="J73" s="8" t="s">
        <v>126</v>
      </c>
      <c r="K73" s="8" t="n">
        <v>332236</v>
      </c>
      <c r="L73" s="8" t="n">
        <v>0.8840432704</v>
      </c>
      <c r="M73" s="8"/>
      <c r="N73" s="8" t="s">
        <v>43</v>
      </c>
      <c r="O73" s="8" t="s">
        <v>34</v>
      </c>
      <c r="P73" s="8" t="s">
        <v>35</v>
      </c>
      <c r="Q73" s="11" t="b">
        <f aca="false">FALSE()</f>
        <v>0</v>
      </c>
    </row>
    <row r="74" customFormat="false" ht="15" hidden="false" customHeight="false" outlineLevel="0" collapsed="false">
      <c r="A74" s="8" t="s">
        <v>183</v>
      </c>
      <c r="B74" s="9" t="n">
        <v>46002</v>
      </c>
      <c r="C74" s="8" t="n">
        <v>2157923</v>
      </c>
      <c r="D74" s="8" t="n">
        <v>311</v>
      </c>
      <c r="E74" s="10" t="s">
        <v>184</v>
      </c>
      <c r="F74" s="9" t="n">
        <v>46293</v>
      </c>
      <c r="G74" s="11" t="b">
        <f aca="false">FALSE()</f>
        <v>0</v>
      </c>
      <c r="H74" s="8" t="n">
        <v>291</v>
      </c>
      <c r="I74" s="8" t="n">
        <v>7415.542955</v>
      </c>
      <c r="J74" s="8" t="s">
        <v>126</v>
      </c>
      <c r="K74" s="8" t="n">
        <v>332236</v>
      </c>
      <c r="L74" s="8" t="n">
        <v>6.495151037</v>
      </c>
      <c r="M74" s="8" t="s">
        <v>32</v>
      </c>
      <c r="N74" s="8" t="s">
        <v>43</v>
      </c>
      <c r="O74" s="8" t="s">
        <v>34</v>
      </c>
      <c r="P74" s="8" t="s">
        <v>35</v>
      </c>
      <c r="Q74" s="11" t="b">
        <f aca="false">FALSE()</f>
        <v>0</v>
      </c>
    </row>
    <row r="75" customFormat="false" ht="15" hidden="false" customHeight="false" outlineLevel="0" collapsed="false">
      <c r="A75" s="8" t="s">
        <v>185</v>
      </c>
      <c r="B75" s="9" t="n">
        <v>46000</v>
      </c>
      <c r="C75" s="8" t="n">
        <v>606919</v>
      </c>
      <c r="D75" s="8" t="n">
        <v>372</v>
      </c>
      <c r="E75" s="10" t="s">
        <v>186</v>
      </c>
      <c r="F75" s="9" t="n">
        <v>46293</v>
      </c>
      <c r="G75" s="11" t="b">
        <f aca="false">FALSE()</f>
        <v>0</v>
      </c>
      <c r="H75" s="8" t="n">
        <v>293</v>
      </c>
      <c r="I75" s="8" t="n">
        <v>2071.395904</v>
      </c>
      <c r="J75" s="8" t="s">
        <v>126</v>
      </c>
      <c r="K75" s="8" t="n">
        <v>332236</v>
      </c>
      <c r="L75" s="8" t="n">
        <v>1.826770729</v>
      </c>
      <c r="M75" s="8"/>
      <c r="N75" s="8" t="s">
        <v>27</v>
      </c>
      <c r="O75" s="8" t="s">
        <v>28</v>
      </c>
      <c r="P75" s="8" t="s">
        <v>29</v>
      </c>
      <c r="Q75" s="11" t="b">
        <f aca="false">FALSE()</f>
        <v>0</v>
      </c>
    </row>
    <row r="76" customFormat="false" ht="15" hidden="false" customHeight="false" outlineLevel="0" collapsed="false">
      <c r="A76" s="8" t="s">
        <v>187</v>
      </c>
      <c r="B76" s="9" t="n">
        <v>45995</v>
      </c>
      <c r="C76" s="8" t="n">
        <v>88459</v>
      </c>
      <c r="D76" s="8" t="n">
        <v>407</v>
      </c>
      <c r="E76" s="10" t="s">
        <v>188</v>
      </c>
      <c r="F76" s="9" t="n">
        <v>46293</v>
      </c>
      <c r="G76" s="11" t="b">
        <f aca="false">FALSE()</f>
        <v>0</v>
      </c>
      <c r="H76" s="8" t="n">
        <v>298</v>
      </c>
      <c r="I76" s="8" t="n">
        <v>296.8422819</v>
      </c>
      <c r="J76" s="8" t="s">
        <v>126</v>
      </c>
      <c r="K76" s="8" t="n">
        <v>332236</v>
      </c>
      <c r="L76" s="8" t="n">
        <v>0.2662535065</v>
      </c>
      <c r="M76" s="8" t="s">
        <v>26</v>
      </c>
      <c r="N76" s="8" t="s">
        <v>33</v>
      </c>
      <c r="O76" s="8" t="s">
        <v>50</v>
      </c>
      <c r="P76" s="8" t="s">
        <v>29</v>
      </c>
      <c r="Q76" s="11" t="b">
        <f aca="false">TRUE()</f>
        <v>1</v>
      </c>
    </row>
    <row r="77" customFormat="false" ht="15" hidden="false" customHeight="false" outlineLevel="0" collapsed="false">
      <c r="A77" s="8" t="s">
        <v>189</v>
      </c>
      <c r="B77" s="9" t="n">
        <v>45993</v>
      </c>
      <c r="C77" s="8" t="n">
        <v>139705</v>
      </c>
      <c r="D77" s="8" t="n">
        <v>327</v>
      </c>
      <c r="E77" s="10" t="s">
        <v>190</v>
      </c>
      <c r="F77" s="9" t="n">
        <v>46293</v>
      </c>
      <c r="G77" s="11" t="b">
        <f aca="false">FALSE()</f>
        <v>0</v>
      </c>
      <c r="H77" s="8" t="n">
        <v>300</v>
      </c>
      <c r="I77" s="8" t="n">
        <v>465.6833333</v>
      </c>
      <c r="J77" s="8" t="s">
        <v>126</v>
      </c>
      <c r="K77" s="8" t="n">
        <v>332236</v>
      </c>
      <c r="L77" s="8" t="n">
        <v>0.4204992836</v>
      </c>
      <c r="M77" s="8" t="s">
        <v>26</v>
      </c>
      <c r="N77" s="8" t="s">
        <v>27</v>
      </c>
      <c r="O77" s="8" t="s">
        <v>50</v>
      </c>
      <c r="P77" s="8" t="s">
        <v>35</v>
      </c>
      <c r="Q77" s="11" t="b">
        <f aca="false">FALSE()</f>
        <v>0</v>
      </c>
    </row>
    <row r="78" customFormat="false" ht="15" hidden="false" customHeight="false" outlineLevel="0" collapsed="false">
      <c r="A78" s="8" t="s">
        <v>191</v>
      </c>
      <c r="B78" s="9" t="n">
        <v>45986</v>
      </c>
      <c r="C78" s="8" t="n">
        <v>594735</v>
      </c>
      <c r="D78" s="8" t="n">
        <v>307</v>
      </c>
      <c r="E78" s="10" t="s">
        <v>192</v>
      </c>
      <c r="F78" s="9" t="n">
        <v>46293</v>
      </c>
      <c r="G78" s="11" t="b">
        <f aca="false">FALSE()</f>
        <v>0</v>
      </c>
      <c r="H78" s="8" t="n">
        <v>307</v>
      </c>
      <c r="I78" s="8" t="n">
        <v>1937.247557</v>
      </c>
      <c r="J78" s="8" t="s">
        <v>126</v>
      </c>
      <c r="K78" s="8" t="n">
        <v>332236</v>
      </c>
      <c r="L78" s="8" t="n">
        <v>1.790098003</v>
      </c>
      <c r="M78" s="8"/>
      <c r="N78" s="8" t="s">
        <v>27</v>
      </c>
      <c r="O78" s="8" t="s">
        <v>40</v>
      </c>
      <c r="P78" s="8" t="s">
        <v>29</v>
      </c>
      <c r="Q78" s="11" t="b">
        <f aca="false">FALSE()</f>
        <v>0</v>
      </c>
    </row>
    <row r="79" customFormat="false" ht="15" hidden="false" customHeight="false" outlineLevel="0" collapsed="false">
      <c r="A79" s="8" t="s">
        <v>193</v>
      </c>
      <c r="B79" s="9" t="n">
        <v>45981</v>
      </c>
      <c r="C79" s="8" t="n">
        <v>1357157</v>
      </c>
      <c r="D79" s="8" t="n">
        <v>331</v>
      </c>
      <c r="E79" s="10" t="s">
        <v>194</v>
      </c>
      <c r="F79" s="9" t="n">
        <v>46293</v>
      </c>
      <c r="G79" s="11" t="b">
        <f aca="false">FALSE()</f>
        <v>0</v>
      </c>
      <c r="H79" s="8" t="n">
        <v>312</v>
      </c>
      <c r="I79" s="8" t="n">
        <v>4349.862179</v>
      </c>
      <c r="J79" s="8" t="s">
        <v>126</v>
      </c>
      <c r="K79" s="8" t="n">
        <v>332236</v>
      </c>
      <c r="L79" s="8" t="n">
        <v>4.084918552</v>
      </c>
      <c r="M79" s="8" t="s">
        <v>32</v>
      </c>
      <c r="N79" s="8" t="s">
        <v>27</v>
      </c>
      <c r="O79" s="8" t="s">
        <v>34</v>
      </c>
      <c r="P79" s="8" t="s">
        <v>35</v>
      </c>
      <c r="Q79" s="11" t="b">
        <f aca="false">FALSE()</f>
        <v>0</v>
      </c>
    </row>
    <row r="80" customFormat="false" ht="15" hidden="false" customHeight="false" outlineLevel="0" collapsed="false">
      <c r="A80" s="8" t="s">
        <v>195</v>
      </c>
      <c r="B80" s="9" t="n">
        <v>45979</v>
      </c>
      <c r="C80" s="8" t="n">
        <v>1953004</v>
      </c>
      <c r="D80" s="8" t="n">
        <v>405</v>
      </c>
      <c r="E80" s="10" t="s">
        <v>196</v>
      </c>
      <c r="F80" s="9" t="n">
        <v>46293</v>
      </c>
      <c r="G80" s="11" t="b">
        <f aca="false">FALSE()</f>
        <v>0</v>
      </c>
      <c r="H80" s="8" t="n">
        <v>314</v>
      </c>
      <c r="I80" s="8" t="n">
        <v>6219.757962</v>
      </c>
      <c r="J80" s="8" t="s">
        <v>126</v>
      </c>
      <c r="K80" s="8" t="n">
        <v>332236</v>
      </c>
      <c r="L80" s="8" t="n">
        <v>5.878363573</v>
      </c>
      <c r="M80" s="8" t="s">
        <v>32</v>
      </c>
      <c r="N80" s="8" t="s">
        <v>27</v>
      </c>
      <c r="O80" s="8" t="s">
        <v>34</v>
      </c>
      <c r="P80" s="8" t="s">
        <v>35</v>
      </c>
      <c r="Q80" s="11" t="b">
        <f aca="false">FALSE()</f>
        <v>0</v>
      </c>
    </row>
    <row r="81" customFormat="false" ht="15" hidden="false" customHeight="false" outlineLevel="0" collapsed="false">
      <c r="A81" s="8" t="s">
        <v>197</v>
      </c>
      <c r="B81" s="9" t="n">
        <v>45974</v>
      </c>
      <c r="C81" s="8" t="n">
        <v>220890</v>
      </c>
      <c r="D81" s="8" t="n">
        <v>305</v>
      </c>
      <c r="E81" s="10" t="s">
        <v>198</v>
      </c>
      <c r="F81" s="9" t="n">
        <v>46293</v>
      </c>
      <c r="G81" s="11" t="b">
        <f aca="false">FALSE()</f>
        <v>0</v>
      </c>
      <c r="H81" s="8" t="n">
        <v>319</v>
      </c>
      <c r="I81" s="8" t="n">
        <v>692.4451411</v>
      </c>
      <c r="J81" s="8" t="s">
        <v>126</v>
      </c>
      <c r="K81" s="8" t="n">
        <v>332236</v>
      </c>
      <c r="L81" s="8" t="n">
        <v>0.6648587149</v>
      </c>
      <c r="M81" s="8"/>
      <c r="N81" s="8" t="s">
        <v>27</v>
      </c>
      <c r="O81" s="8" t="s">
        <v>40</v>
      </c>
      <c r="P81" s="8" t="s">
        <v>29</v>
      </c>
      <c r="Q81" s="11" t="b">
        <f aca="false">FALSE()</f>
        <v>0</v>
      </c>
    </row>
    <row r="82" customFormat="false" ht="15" hidden="false" customHeight="false" outlineLevel="0" collapsed="false">
      <c r="A82" s="8" t="s">
        <v>199</v>
      </c>
      <c r="B82" s="9" t="n">
        <v>45972</v>
      </c>
      <c r="C82" s="8" t="n">
        <v>637210</v>
      </c>
      <c r="D82" s="8" t="n">
        <v>302</v>
      </c>
      <c r="E82" s="10" t="s">
        <v>200</v>
      </c>
      <c r="F82" s="9" t="n">
        <v>46293</v>
      </c>
      <c r="G82" s="11" t="b">
        <f aca="false">FALSE()</f>
        <v>0</v>
      </c>
      <c r="H82" s="8" t="n">
        <v>321</v>
      </c>
      <c r="I82" s="8" t="n">
        <v>1985.077882</v>
      </c>
      <c r="J82" s="8" t="s">
        <v>126</v>
      </c>
      <c r="K82" s="8" t="n">
        <v>332236</v>
      </c>
      <c r="L82" s="8" t="n">
        <v>1.917943871</v>
      </c>
      <c r="M82" s="8"/>
      <c r="N82" s="8" t="s">
        <v>27</v>
      </c>
      <c r="O82" s="8" t="s">
        <v>34</v>
      </c>
      <c r="P82" s="8" t="s">
        <v>35</v>
      </c>
      <c r="Q82" s="11" t="b">
        <f aca="false">FALSE()</f>
        <v>0</v>
      </c>
    </row>
    <row r="83" customFormat="false" ht="15" hidden="false" customHeight="false" outlineLevel="0" collapsed="false">
      <c r="A83" s="8" t="s">
        <v>201</v>
      </c>
      <c r="B83" s="9" t="n">
        <v>45967</v>
      </c>
      <c r="C83" s="8" t="n">
        <v>333350</v>
      </c>
      <c r="D83" s="8" t="n">
        <v>347</v>
      </c>
      <c r="E83" s="10" t="s">
        <v>202</v>
      </c>
      <c r="F83" s="9" t="n">
        <v>46293</v>
      </c>
      <c r="G83" s="11" t="b">
        <f aca="false">FALSE()</f>
        <v>0</v>
      </c>
      <c r="H83" s="8" t="n">
        <v>326</v>
      </c>
      <c r="I83" s="8" t="n">
        <v>1022.546012</v>
      </c>
      <c r="J83" s="8" t="s">
        <v>126</v>
      </c>
      <c r="K83" s="8" t="n">
        <v>332236</v>
      </c>
      <c r="L83" s="8" t="n">
        <v>1.003353038</v>
      </c>
      <c r="M83" s="8"/>
      <c r="N83" s="8" t="s">
        <v>43</v>
      </c>
      <c r="O83" s="8" t="s">
        <v>34</v>
      </c>
      <c r="P83" s="8" t="s">
        <v>29</v>
      </c>
      <c r="Q83" s="11" t="b">
        <f aca="false">FALSE()</f>
        <v>0</v>
      </c>
    </row>
    <row r="84" customFormat="false" ht="15" hidden="false" customHeight="false" outlineLevel="0" collapsed="false">
      <c r="A84" s="8" t="s">
        <v>203</v>
      </c>
      <c r="B84" s="9" t="n">
        <v>45965</v>
      </c>
      <c r="C84" s="8" t="n">
        <v>1933970</v>
      </c>
      <c r="D84" s="8" t="n">
        <v>346</v>
      </c>
      <c r="E84" s="10" t="s">
        <v>204</v>
      </c>
      <c r="F84" s="9" t="n">
        <v>46293</v>
      </c>
      <c r="G84" s="11" t="b">
        <f aca="false">FALSE()</f>
        <v>0</v>
      </c>
      <c r="H84" s="8" t="n">
        <v>328</v>
      </c>
      <c r="I84" s="8" t="n">
        <v>5896.25</v>
      </c>
      <c r="J84" s="8" t="s">
        <v>126</v>
      </c>
      <c r="K84" s="8" t="n">
        <v>332236</v>
      </c>
      <c r="L84" s="8" t="n">
        <v>5.821072972</v>
      </c>
      <c r="M84" s="8" t="s">
        <v>32</v>
      </c>
      <c r="N84" s="8" t="s">
        <v>27</v>
      </c>
      <c r="O84" s="8" t="s">
        <v>34</v>
      </c>
      <c r="P84" s="8" t="s">
        <v>35</v>
      </c>
      <c r="Q84" s="11" t="b">
        <f aca="false">FALSE()</f>
        <v>0</v>
      </c>
    </row>
    <row r="85" customFormat="false" ht="15" hidden="false" customHeight="false" outlineLevel="0" collapsed="false">
      <c r="A85" s="8" t="s">
        <v>205</v>
      </c>
      <c r="B85" s="9" t="n">
        <v>45960</v>
      </c>
      <c r="C85" s="8" t="n">
        <v>145067</v>
      </c>
      <c r="D85" s="8" t="n">
        <v>587</v>
      </c>
      <c r="E85" s="10" t="s">
        <v>206</v>
      </c>
      <c r="F85" s="9" t="n">
        <v>46293</v>
      </c>
      <c r="G85" s="11" t="b">
        <f aca="false">FALSE()</f>
        <v>0</v>
      </c>
      <c r="H85" s="8" t="n">
        <v>333</v>
      </c>
      <c r="I85" s="8" t="n">
        <v>435.6366366</v>
      </c>
      <c r="J85" s="8" t="s">
        <v>126</v>
      </c>
      <c r="K85" s="8" t="n">
        <v>332236</v>
      </c>
      <c r="L85" s="8" t="n">
        <v>0.4366384137</v>
      </c>
      <c r="M85" s="8" t="s">
        <v>26</v>
      </c>
      <c r="N85" s="8" t="s">
        <v>27</v>
      </c>
      <c r="O85" s="8" t="s">
        <v>50</v>
      </c>
      <c r="P85" s="8" t="s">
        <v>35</v>
      </c>
      <c r="Q85" s="11" t="b">
        <f aca="false">TRUE()</f>
        <v>1</v>
      </c>
    </row>
    <row r="86" customFormat="false" ht="15" hidden="false" customHeight="false" outlineLevel="0" collapsed="false">
      <c r="A86" s="8" t="s">
        <v>207</v>
      </c>
      <c r="B86" s="9" t="n">
        <v>45958</v>
      </c>
      <c r="C86" s="8" t="n">
        <v>403258</v>
      </c>
      <c r="D86" s="8" t="n">
        <v>340</v>
      </c>
      <c r="E86" s="10" t="s">
        <v>208</v>
      </c>
      <c r="F86" s="9" t="n">
        <v>46293</v>
      </c>
      <c r="G86" s="11" t="b">
        <f aca="false">FALSE()</f>
        <v>0</v>
      </c>
      <c r="H86" s="8" t="n">
        <v>335</v>
      </c>
      <c r="I86" s="8" t="n">
        <v>1203.755224</v>
      </c>
      <c r="J86" s="8" t="s">
        <v>126</v>
      </c>
      <c r="K86" s="8" t="n">
        <v>332236</v>
      </c>
      <c r="L86" s="8" t="n">
        <v>1.21376973</v>
      </c>
      <c r="M86" s="8"/>
      <c r="N86" s="8" t="s">
        <v>27</v>
      </c>
      <c r="O86" s="8" t="s">
        <v>50</v>
      </c>
      <c r="P86" s="8" t="s">
        <v>29</v>
      </c>
      <c r="Q86" s="11" t="b">
        <f aca="false">FALSE()</f>
        <v>0</v>
      </c>
    </row>
    <row r="87" customFormat="false" ht="15" hidden="false" customHeight="false" outlineLevel="0" collapsed="false">
      <c r="A87" s="8" t="s">
        <v>209</v>
      </c>
      <c r="B87" s="9" t="n">
        <v>45953</v>
      </c>
      <c r="C87" s="8" t="n">
        <v>1133651</v>
      </c>
      <c r="D87" s="8" t="n">
        <v>337</v>
      </c>
      <c r="E87" s="10" t="s">
        <v>210</v>
      </c>
      <c r="F87" s="9" t="n">
        <v>46293</v>
      </c>
      <c r="G87" s="11" t="b">
        <f aca="false">FALSE()</f>
        <v>0</v>
      </c>
      <c r="H87" s="8" t="n">
        <v>340</v>
      </c>
      <c r="I87" s="8" t="n">
        <v>3334.267647</v>
      </c>
      <c r="J87" s="8" t="s">
        <v>126</v>
      </c>
      <c r="K87" s="8" t="n">
        <v>332236</v>
      </c>
      <c r="L87" s="8" t="n">
        <v>3.412185916</v>
      </c>
      <c r="M87" s="8" t="s">
        <v>32</v>
      </c>
      <c r="N87" s="8" t="s">
        <v>43</v>
      </c>
      <c r="O87" s="8" t="s">
        <v>40</v>
      </c>
      <c r="P87" s="8" t="s">
        <v>29</v>
      </c>
      <c r="Q87" s="11" t="b">
        <f aca="false">FALSE()</f>
        <v>0</v>
      </c>
    </row>
    <row r="88" customFormat="false" ht="15" hidden="false" customHeight="false" outlineLevel="0" collapsed="false">
      <c r="A88" s="8" t="s">
        <v>211</v>
      </c>
      <c r="B88" s="9" t="n">
        <v>45951</v>
      </c>
      <c r="C88" s="8" t="n">
        <v>324852</v>
      </c>
      <c r="D88" s="8" t="n">
        <v>391</v>
      </c>
      <c r="E88" s="10" t="s">
        <v>212</v>
      </c>
      <c r="F88" s="9" t="n">
        <v>46293</v>
      </c>
      <c r="G88" s="11" t="b">
        <f aca="false">FALSE()</f>
        <v>0</v>
      </c>
      <c r="H88" s="8" t="n">
        <v>342</v>
      </c>
      <c r="I88" s="8" t="n">
        <v>949.8596491</v>
      </c>
      <c r="J88" s="8" t="s">
        <v>126</v>
      </c>
      <c r="K88" s="8" t="n">
        <v>332236</v>
      </c>
      <c r="L88" s="8" t="n">
        <v>0.9777748348</v>
      </c>
      <c r="M88" s="8"/>
      <c r="N88" s="8" t="s">
        <v>27</v>
      </c>
      <c r="O88" s="8" t="s">
        <v>54</v>
      </c>
      <c r="P88" s="8" t="s">
        <v>29</v>
      </c>
      <c r="Q88" s="11" t="b">
        <f aca="false">FALSE()</f>
        <v>0</v>
      </c>
    </row>
    <row r="89" customFormat="false" ht="15" hidden="false" customHeight="false" outlineLevel="0" collapsed="false">
      <c r="A89" s="8" t="s">
        <v>213</v>
      </c>
      <c r="B89" s="9" t="n">
        <v>45946</v>
      </c>
      <c r="C89" s="8" t="n">
        <v>201199</v>
      </c>
      <c r="D89" s="8" t="n">
        <v>323</v>
      </c>
      <c r="E89" s="10" t="s">
        <v>214</v>
      </c>
      <c r="F89" s="9" t="n">
        <v>46293</v>
      </c>
      <c r="G89" s="11" t="b">
        <f aca="false">FALSE()</f>
        <v>0</v>
      </c>
      <c r="H89" s="8" t="n">
        <v>347</v>
      </c>
      <c r="I89" s="8" t="n">
        <v>579.8242075</v>
      </c>
      <c r="J89" s="8" t="s">
        <v>126</v>
      </c>
      <c r="K89" s="8" t="n">
        <v>332236</v>
      </c>
      <c r="L89" s="8" t="n">
        <v>0.6055906043</v>
      </c>
      <c r="M89" s="8"/>
      <c r="N89" s="8" t="s">
        <v>43</v>
      </c>
      <c r="O89" s="8" t="s">
        <v>28</v>
      </c>
      <c r="P89" s="8" t="s">
        <v>29</v>
      </c>
      <c r="Q89" s="11" t="b">
        <f aca="false">FALSE()</f>
        <v>0</v>
      </c>
    </row>
    <row r="90" customFormat="false" ht="15" hidden="false" customHeight="false" outlineLevel="0" collapsed="false">
      <c r="A90" s="8" t="s">
        <v>215</v>
      </c>
      <c r="B90" s="9" t="n">
        <v>45944</v>
      </c>
      <c r="C90" s="8" t="n">
        <v>199505</v>
      </c>
      <c r="D90" s="8" t="n">
        <v>359</v>
      </c>
      <c r="E90" s="10" t="s">
        <v>216</v>
      </c>
      <c r="F90" s="9" t="n">
        <v>46293</v>
      </c>
      <c r="G90" s="11" t="b">
        <f aca="false">FALSE()</f>
        <v>0</v>
      </c>
      <c r="H90" s="8" t="n">
        <v>349</v>
      </c>
      <c r="I90" s="8" t="n">
        <v>571.6475645</v>
      </c>
      <c r="J90" s="8" t="s">
        <v>126</v>
      </c>
      <c r="K90" s="8" t="n">
        <v>332236</v>
      </c>
      <c r="L90" s="8" t="n">
        <v>0.6004918191</v>
      </c>
      <c r="M90" s="8"/>
      <c r="N90" s="8" t="s">
        <v>43</v>
      </c>
      <c r="O90" s="8" t="s">
        <v>28</v>
      </c>
      <c r="P90" s="8" t="s">
        <v>29</v>
      </c>
      <c r="Q90" s="11" t="b">
        <f aca="false">FALSE()</f>
        <v>0</v>
      </c>
    </row>
    <row r="91" customFormat="false" ht="15" hidden="false" customHeight="false" outlineLevel="0" collapsed="false">
      <c r="A91" s="8" t="s">
        <v>217</v>
      </c>
      <c r="B91" s="9" t="n">
        <v>45939</v>
      </c>
      <c r="C91" s="8" t="n">
        <v>220613</v>
      </c>
      <c r="D91" s="8" t="n">
        <v>453</v>
      </c>
      <c r="E91" s="10" t="s">
        <v>218</v>
      </c>
      <c r="F91" s="9" t="n">
        <v>46293</v>
      </c>
      <c r="G91" s="11" t="b">
        <f aca="false">FALSE()</f>
        <v>0</v>
      </c>
      <c r="H91" s="8" t="n">
        <v>354</v>
      </c>
      <c r="I91" s="8" t="n">
        <v>623.200565</v>
      </c>
      <c r="J91" s="8" t="s">
        <v>126</v>
      </c>
      <c r="K91" s="8" t="n">
        <v>332236</v>
      </c>
      <c r="L91" s="8" t="n">
        <v>0.6640249702</v>
      </c>
      <c r="M91" s="8"/>
      <c r="N91" s="8" t="s">
        <v>27</v>
      </c>
      <c r="O91" s="8" t="s">
        <v>50</v>
      </c>
      <c r="P91" s="8" t="s">
        <v>29</v>
      </c>
      <c r="Q91" s="11" t="b">
        <f aca="false">TRUE()</f>
        <v>1</v>
      </c>
    </row>
    <row r="92" customFormat="false" ht="15" hidden="false" customHeight="false" outlineLevel="0" collapsed="false">
      <c r="A92" s="8" t="s">
        <v>219</v>
      </c>
      <c r="B92" s="9" t="n">
        <v>45937</v>
      </c>
      <c r="C92" s="8" t="n">
        <v>446423</v>
      </c>
      <c r="D92" s="8" t="n">
        <v>280</v>
      </c>
      <c r="E92" s="10" t="s">
        <v>220</v>
      </c>
      <c r="F92" s="9" t="n">
        <v>46293</v>
      </c>
      <c r="G92" s="11" t="b">
        <f aca="false">FALSE()</f>
        <v>0</v>
      </c>
      <c r="H92" s="8" t="n">
        <v>356</v>
      </c>
      <c r="I92" s="8" t="n">
        <v>1253.997191</v>
      </c>
      <c r="J92" s="8" t="s">
        <v>126</v>
      </c>
      <c r="K92" s="8" t="n">
        <v>332236</v>
      </c>
      <c r="L92" s="8" t="n">
        <v>1.343692435</v>
      </c>
      <c r="M92" s="8"/>
      <c r="N92" s="8" t="s">
        <v>43</v>
      </c>
      <c r="O92" s="8" t="s">
        <v>34</v>
      </c>
      <c r="P92" s="8" t="s">
        <v>29</v>
      </c>
      <c r="Q92" s="11" t="b">
        <f aca="false">FALSE()</f>
        <v>0</v>
      </c>
    </row>
    <row r="93" customFormat="false" ht="15" hidden="false" customHeight="false" outlineLevel="0" collapsed="false">
      <c r="A93" s="8" t="s">
        <v>221</v>
      </c>
      <c r="B93" s="9" t="n">
        <v>45932</v>
      </c>
      <c r="C93" s="8" t="n">
        <v>332236</v>
      </c>
      <c r="D93" s="8" t="n">
        <v>260</v>
      </c>
      <c r="E93" s="10" t="s">
        <v>222</v>
      </c>
      <c r="F93" s="9" t="n">
        <v>46293</v>
      </c>
      <c r="G93" s="11" t="b">
        <f aca="false">FALSE()</f>
        <v>0</v>
      </c>
      <c r="H93" s="8" t="n">
        <v>361</v>
      </c>
      <c r="I93" s="8" t="n">
        <v>920.3213296</v>
      </c>
      <c r="J93" s="8" t="s">
        <v>126</v>
      </c>
      <c r="K93" s="8" t="n">
        <v>332236</v>
      </c>
      <c r="L93" s="8" t="n">
        <v>1</v>
      </c>
      <c r="M93" s="8"/>
      <c r="N93" s="8" t="s">
        <v>27</v>
      </c>
      <c r="O93" s="8" t="s">
        <v>28</v>
      </c>
      <c r="P93" s="8" t="s">
        <v>35</v>
      </c>
      <c r="Q93" s="11" t="b">
        <f aca="false">FALSE()</f>
        <v>0</v>
      </c>
    </row>
    <row r="94" customFormat="false" ht="15" hidden="false" customHeight="false" outlineLevel="0" collapsed="false">
      <c r="A94" s="8" t="s">
        <v>223</v>
      </c>
      <c r="B94" s="9" t="n">
        <v>45930</v>
      </c>
      <c r="C94" s="8" t="n">
        <v>537515</v>
      </c>
      <c r="D94" s="8" t="n">
        <v>295</v>
      </c>
      <c r="E94" s="10" t="s">
        <v>224</v>
      </c>
      <c r="F94" s="9" t="n">
        <v>46293</v>
      </c>
      <c r="G94" s="11" t="b">
        <f aca="false">FALSE()</f>
        <v>0</v>
      </c>
      <c r="H94" s="8" t="n">
        <v>363</v>
      </c>
      <c r="I94" s="8" t="n">
        <v>1480.757576</v>
      </c>
      <c r="J94" s="8" t="s">
        <v>126</v>
      </c>
      <c r="K94" s="8" t="n">
        <v>332236</v>
      </c>
      <c r="L94" s="8" t="n">
        <v>1.617871031</v>
      </c>
      <c r="M94" s="8"/>
      <c r="N94" s="8" t="s">
        <v>27</v>
      </c>
      <c r="O94" s="8" t="s">
        <v>50</v>
      </c>
      <c r="P94" s="8" t="s">
        <v>29</v>
      </c>
      <c r="Q94" s="11" t="b">
        <f aca="false">FALSE()</f>
        <v>0</v>
      </c>
    </row>
  </sheetData>
  <conditionalFormatting sqref="M2:M94">
    <cfRule type="cellIs" priority="2" operator="equal" aboveAverage="0" equalAverage="0" bottom="0" percent="0" rank="0" text="" dxfId="0">
      <formula>"Outlier"</formula>
    </cfRule>
    <cfRule type="cellIs" priority="3" operator="equal" aboveAverage="0" equalAverage="0" bottom="0" percent="0" rank="0" text="" dxfId="1">
      <formula>"Underperformer"</formula>
    </cfRule>
  </conditionalFormatting>
  <hyperlinks>
    <hyperlink ref="E2" r:id="rId1" display="https://www.youtube.com/watch?v=jG7ULeWUfDw"/>
    <hyperlink ref="E3" r:id="rId2" display="https://www.youtube.com/watch?v=N2uQWfV6Jr4"/>
    <hyperlink ref="E4" r:id="rId3" display="https://www.youtube.com/watch?v=bHB5iiDDJ-s"/>
    <hyperlink ref="E5" r:id="rId4" display="https://www.youtube.com/watch?v=EMbZ72cCAzI"/>
    <hyperlink ref="E6" r:id="rId5" display="https://www.youtube.com/watch?v=I8XaYkRW1tA"/>
    <hyperlink ref="E7" r:id="rId6" display="https://www.youtube.com/watch?v=_gP3aXvNmv8"/>
    <hyperlink ref="E8" r:id="rId7" display="https://www.youtube.com/watch?v=BSdEiOYvKpE"/>
    <hyperlink ref="E9" r:id="rId8" display="https://www.youtube.com/watch?v=JOs-q7rXqdk"/>
    <hyperlink ref="E10" r:id="rId9" display="https://www.youtube.com/watch?v=QyRqlTV60zM"/>
    <hyperlink ref="E11" r:id="rId10" display="https://www.youtube.com/watch?v=l29K-ZkARmE"/>
    <hyperlink ref="E12" r:id="rId11" display="https://www.youtube.com/watch?v=2A1IEBFt6Xg"/>
    <hyperlink ref="E13" r:id="rId12" display="https://www.youtube.com/watch?v=-61qDRPG3to"/>
    <hyperlink ref="E14" r:id="rId13" display="https://www.youtube.com/watch?v=krNP8RlDsbw"/>
    <hyperlink ref="E15" r:id="rId14" display="https://www.youtube.com/watch?v=5jPCAlE0z7I"/>
    <hyperlink ref="E16" r:id="rId15" display="https://www.youtube.com/watch?v=JhxuP0AuRPA"/>
    <hyperlink ref="E17" r:id="rId16" display="https://www.youtube.com/watch?v=5ljV0Vxu00M"/>
    <hyperlink ref="E18" r:id="rId17" display="https://www.youtube.com/watch?v=QIqKGMM8ivM"/>
    <hyperlink ref="E19" r:id="rId18" display="https://www.youtube.com/watch?v=DbEZmLoGDbk"/>
    <hyperlink ref="E20" r:id="rId19" display="https://www.youtube.com/watch?v=6hCo4S_1Fhw"/>
    <hyperlink ref="E21" r:id="rId20" display="https://www.youtube.com/watch?v=FBpBUwlDId0"/>
    <hyperlink ref="E22" r:id="rId21" display="https://www.youtube.com/watch?v=eR5blcjll8o"/>
    <hyperlink ref="E23" r:id="rId22" display="https://www.youtube.com/watch?v=JDqpcHGfJ2I"/>
    <hyperlink ref="E24" r:id="rId23" display="https://www.youtube.com/watch?v=Q9Vt6NGBVBc"/>
    <hyperlink ref="E25" r:id="rId24" display="https://www.youtube.com/watch?v=HDt_rTPPh70"/>
    <hyperlink ref="E26" r:id="rId25" display="https://www.youtube.com/watch?v=pyDZpDkU46Y"/>
    <hyperlink ref="E27" r:id="rId26" display="https://www.youtube.com/watch?v=BlK23YzqXOM"/>
    <hyperlink ref="E28" r:id="rId27" display="https://www.youtube.com/watch?v=aob7rM5PV5A"/>
    <hyperlink ref="E29" r:id="rId28" display="https://www.youtube.com/watch?v=uBwkMc1llmM"/>
    <hyperlink ref="E30" r:id="rId29" display="https://www.youtube.com/watch?v=gePOX4nbMU4"/>
    <hyperlink ref="E31" r:id="rId30" display="https://www.youtube.com/watch?v=HdieAFhQtPo"/>
    <hyperlink ref="E32" r:id="rId31" display="https://www.youtube.com/watch?v=mA1lnxfqHk8"/>
    <hyperlink ref="E33" r:id="rId32" display="https://www.youtube.com/watch?v=8H--GLt3h8I"/>
    <hyperlink ref="E34" r:id="rId33" display="https://www.youtube.com/watch?v=P8OEz3PvWZQ"/>
    <hyperlink ref="E35" r:id="rId34" display="https://www.youtube.com/watch?v=qKM4JzToM-A"/>
    <hyperlink ref="E36" r:id="rId35" display="https://www.youtube.com/watch?v=65I_1sgTMLE"/>
    <hyperlink ref="E37" r:id="rId36" display="https://www.youtube.com/watch?v=2x3rJMBVB28"/>
    <hyperlink ref="E38" r:id="rId37" display="https://www.youtube.com/watch?v=QRA1-6imP3s"/>
    <hyperlink ref="E39" r:id="rId38" display="https://www.youtube.com/watch?v=NEFmWclWiOw"/>
    <hyperlink ref="E40" r:id="rId39" display="https://www.youtube.com/watch?v=kRAl4Xgs_NU"/>
    <hyperlink ref="E41" r:id="rId40" display="https://www.youtube.com/watch?v=dOqqBQ5Ha6Q"/>
    <hyperlink ref="E42" r:id="rId41" display="https://www.youtube.com/watch?v=qLrnn24C3zU"/>
    <hyperlink ref="E43" r:id="rId42" display="https://www.youtube.com/watch?v=m2BE9GZJJbs"/>
    <hyperlink ref="E44" r:id="rId43" display="https://www.youtube.com/watch?v=ngarNTPMclE"/>
    <hyperlink ref="E45" r:id="rId44" display="https://www.youtube.com/watch?v=QWCHnR53oIw"/>
    <hyperlink ref="E46" r:id="rId45" display="https://www.youtube.com/watch?v=UDdkgOoeNcQ"/>
    <hyperlink ref="E47" r:id="rId46" display="https://www.youtube.com/watch?v=D98UJl6Ea6o"/>
    <hyperlink ref="E48" r:id="rId47" display="https://www.youtube.com/watch?v=DDo4rW0DMpk"/>
    <hyperlink ref="E49" r:id="rId48" display="https://www.youtube.com/watch?v=lQRsqMiBTsI"/>
    <hyperlink ref="E50" r:id="rId49" display="https://www.youtube.com/watch?v=iCBzEZek5cY"/>
    <hyperlink ref="E51" r:id="rId50" display="https://www.youtube.com/watch?v=gVXoAbeB8QI"/>
    <hyperlink ref="E52" r:id="rId51" display="https://www.youtube.com/watch?v=P5pmMe3EarI"/>
    <hyperlink ref="E53" r:id="rId52" display="https://www.youtube.com/watch?v=-Tw81EQYV_Y"/>
    <hyperlink ref="E54" r:id="rId53" display="https://www.youtube.com/watch?v=wxf_pKCOCBo"/>
    <hyperlink ref="E55" r:id="rId54" display="https://www.youtube.com/watch?v=JJdoAMiaLZo"/>
    <hyperlink ref="E56" r:id="rId55" display="https://www.youtube.com/watch?v=MBir652KZPE"/>
    <hyperlink ref="E57" r:id="rId56" display="https://www.youtube.com/watch?v=EtiC0DVewa4"/>
    <hyperlink ref="E58" r:id="rId57" display="https://www.youtube.com/watch?v=NOaeKRft-gc"/>
    <hyperlink ref="E59" r:id="rId58" display="https://www.youtube.com/watch?v=XNEHP6qFeCs"/>
    <hyperlink ref="E60" r:id="rId59" display="https://www.youtube.com/watch?v=FKUc8vg_Lus"/>
    <hyperlink ref="E61" r:id="rId60" display="https://www.youtube.com/watch?v=mnLVpkkQVRU"/>
    <hyperlink ref="E62" r:id="rId61" display="https://www.youtube.com/watch?v=2gPzWP3dcOQ"/>
    <hyperlink ref="E63" r:id="rId62" display="https://www.youtube.com/watch?v=rdEC52iCQNk"/>
    <hyperlink ref="E64" r:id="rId63" display="https://www.youtube.com/watch?v=QFbQkZT1EEk"/>
    <hyperlink ref="E65" r:id="rId64" display="https://www.youtube.com/watch?v=Lq_TYsGwTfM"/>
    <hyperlink ref="E66" r:id="rId65" display="https://www.youtube.com/watch?v=BT93bRX2t68"/>
    <hyperlink ref="E67" r:id="rId66" display="https://www.youtube.com/watch?v=-bFgGvl4pBQ"/>
    <hyperlink ref="E68" r:id="rId67" display="https://www.youtube.com/watch?v=cmO2ryQ8LcY"/>
    <hyperlink ref="E69" r:id="rId68" display="https://www.youtube.com/watch?v=mzREA81VQ34"/>
    <hyperlink ref="E70" r:id="rId69" display="https://www.youtube.com/watch?v=t0h8Dmni8g8"/>
    <hyperlink ref="E71" r:id="rId70" display="https://www.youtube.com/watch?v=ybftH3XSd0Q"/>
    <hyperlink ref="E72" r:id="rId71" display="https://www.youtube.com/watch?v=bVjKL1zd-vQ"/>
    <hyperlink ref="E73" r:id="rId72" display="https://www.youtube.com/watch?v=0RiDPisQAzM"/>
    <hyperlink ref="E74" r:id="rId73" display="https://www.youtube.com/watch?v=_GI9-J-sE5k"/>
    <hyperlink ref="E75" r:id="rId74" display="https://www.youtube.com/watch?v=3ezPMAoxSbw"/>
    <hyperlink ref="E76" r:id="rId75" display="https://www.youtube.com/watch?v=zrjhaYc-9pg"/>
    <hyperlink ref="E77" r:id="rId76" display="https://www.youtube.com/watch?v=ofk-aw5G-FQ"/>
    <hyperlink ref="E78" r:id="rId77" display="https://www.youtube.com/watch?v=IpaVpMFBwAE"/>
    <hyperlink ref="E79" r:id="rId78" display="https://www.youtube.com/watch?v=wtovy-1-QUM"/>
    <hyperlink ref="E80" r:id="rId79" display="https://www.youtube.com/watch?v=WJhCa12UTsg"/>
    <hyperlink ref="E81" r:id="rId80" display="https://www.youtube.com/watch?v=AMKzXZphgyo"/>
    <hyperlink ref="E82" r:id="rId81" display="https://www.youtube.com/watch?v=UQdtUaeZWLo"/>
    <hyperlink ref="E83" r:id="rId82" display="https://www.youtube.com/watch?v=ul-c6a4QkiU"/>
    <hyperlink ref="E84" r:id="rId83" display="https://www.youtube.com/watch?v=jLOuMXnM5wk"/>
    <hyperlink ref="E85" r:id="rId84" display="https://www.youtube.com/watch?v=YtCpZnBhWZ0"/>
    <hyperlink ref="E86" r:id="rId85" display="https://www.youtube.com/watch?v=56F0Y33QZnQ"/>
    <hyperlink ref="E87" r:id="rId86" display="https://www.youtube.com/watch?v=_gTgloPR0Aw"/>
    <hyperlink ref="E88" r:id="rId87" display="https://www.youtube.com/watch?v=uJ_d-UD0xPE"/>
    <hyperlink ref="E89" r:id="rId88" display="https://www.youtube.com/watch?v=PN4moDNE-Kg"/>
    <hyperlink ref="E90" r:id="rId89" display="https://www.youtube.com/watch?v=H5DhD5Nwl_0"/>
    <hyperlink ref="E91" r:id="rId90" display="https://www.youtube.com/watch?v=yYPnos84NDY"/>
    <hyperlink ref="E92" r:id="rId91" display="https://www.youtube.com/watch?v=8hgEorF0vyY"/>
    <hyperlink ref="E93" r:id="rId92" display="https://www.youtube.com/watch?v=7dm2AsJ3-E8"/>
    <hyperlink ref="E94" r:id="rId93" display="https://www.youtube.com/watch?v=B-ukcWJzXwc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5"/>
  </cols>
  <sheetData>
    <row r="1" customFormat="false" ht="16.15" hidden="false" customHeight="false" outlineLevel="0" collapsed="false">
      <c r="A1" s="12" t="s">
        <v>225</v>
      </c>
    </row>
    <row r="2" customFormat="false" ht="15" hidden="false" customHeight="false" outlineLevel="0" collapsed="false">
      <c r="A2" s="13" t="s">
        <v>226</v>
      </c>
    </row>
    <row r="4" customFormat="false" ht="16.15" hidden="false" customHeight="false" outlineLevel="0" collapsed="false">
      <c r="A4" s="12" t="s">
        <v>227</v>
      </c>
    </row>
    <row r="5" customFormat="false" ht="15" hidden="false" customHeight="false" outlineLevel="0" collapsed="false">
      <c r="A5" s="7" t="s">
        <v>228</v>
      </c>
      <c r="B5" s="7" t="s">
        <v>229</v>
      </c>
      <c r="C5" s="7" t="s">
        <v>230</v>
      </c>
      <c r="D5" s="7" t="s">
        <v>231</v>
      </c>
      <c r="E5" s="7" t="s">
        <v>232</v>
      </c>
    </row>
    <row r="6" customFormat="false" ht="15" hidden="false" customHeight="false" outlineLevel="0" collapsed="false">
      <c r="A6" s="14" t="s">
        <v>34</v>
      </c>
      <c r="B6" s="14" t="n">
        <f aca="false">COUNTIF(Data!$O$2:$O$94,"Health/Psychology")</f>
        <v>27</v>
      </c>
      <c r="C6" s="15" t="n">
        <f aca="false" t="array" ref="C6:C6">MEDIAN(IF(Data!$O$2:$O$94="Health/Psychology",Data!$L$2:$L$94))</f>
        <v>2.341600549</v>
      </c>
      <c r="D6" s="14" t="n">
        <f aca="false">COUNTIFS(Data!$O$2:$O$94,"Health/Psychology",Data!$M$2:$M$94,"Outlier")</f>
        <v>15</v>
      </c>
      <c r="E6" s="14" t="n">
        <f aca="false">COUNTIFS(Data!$O$2:$O$94,"Health/Psychology",Data!$M$2:$M$94,"Underperformer")</f>
        <v>0</v>
      </c>
    </row>
    <row r="7" customFormat="false" ht="15" hidden="false" customHeight="false" outlineLevel="0" collapsed="false">
      <c r="A7" s="14" t="s">
        <v>40</v>
      </c>
      <c r="B7" s="14" t="n">
        <f aca="false">COUNTIF(Data!$O$2:$O$94,"Society")</f>
        <v>10</v>
      </c>
      <c r="C7" s="15" t="n">
        <f aca="false" t="array" ref="C7:C7">MEDIAN(IF(Data!$O$2:$O$94="Society",Data!$L$2:$L$94))</f>
        <v>1.008856086</v>
      </c>
      <c r="D7" s="14" t="n">
        <f aca="false">COUNTIFS(Data!$O$2:$O$94,"Society",Data!$M$2:$M$94,"Outlier")</f>
        <v>1</v>
      </c>
      <c r="E7" s="14" t="n">
        <f aca="false">COUNTIFS(Data!$O$2:$O$94,"Society",Data!$M$2:$M$94,"Underperformer")</f>
        <v>0</v>
      </c>
    </row>
    <row r="8" customFormat="false" ht="15" hidden="false" customHeight="false" outlineLevel="0" collapsed="false">
      <c r="A8" s="14" t="s">
        <v>54</v>
      </c>
      <c r="B8" s="14" t="n">
        <f aca="false">COUNTIF(Data!$O$2:$O$94,"History/Culture")</f>
        <v>19</v>
      </c>
      <c r="C8" s="15" t="n">
        <f aca="false" t="array" ref="C8:C8">MEDIAN(IF(Data!$O$2:$O$94="History/Culture",Data!$L$2:$L$94))</f>
        <v>1</v>
      </c>
      <c r="D8" s="14" t="n">
        <f aca="false">COUNTIFS(Data!$O$2:$O$94,"History/Culture",Data!$M$2:$M$94,"Outlier")</f>
        <v>2</v>
      </c>
      <c r="E8" s="14" t="n">
        <f aca="false">COUNTIFS(Data!$O$2:$O$94,"History/Culture",Data!$M$2:$M$94,"Underperformer")</f>
        <v>1</v>
      </c>
    </row>
    <row r="9" customFormat="false" ht="15" hidden="false" customHeight="false" outlineLevel="0" collapsed="false">
      <c r="A9" s="14" t="s">
        <v>28</v>
      </c>
      <c r="B9" s="14" t="n">
        <f aca="false">COUNTIF(Data!$O$2:$O$94,"Science")</f>
        <v>16</v>
      </c>
      <c r="C9" s="15" t="n">
        <f aca="false" t="array" ref="C9:C9">MEDIAN(IF(Data!$O$2:$O$94="Science",Data!$L$2:$L$94))</f>
        <v>0.8556716531</v>
      </c>
      <c r="D9" s="14" t="n">
        <f aca="false">COUNTIFS(Data!$O$2:$O$94,"Science",Data!$M$2:$M$94,"Outlier")</f>
        <v>0</v>
      </c>
      <c r="E9" s="14" t="n">
        <f aca="false">COUNTIFS(Data!$O$2:$O$94,"Science",Data!$M$2:$M$94,"Underperformer")</f>
        <v>3</v>
      </c>
    </row>
    <row r="10" customFormat="false" ht="15" hidden="false" customHeight="false" outlineLevel="0" collapsed="false">
      <c r="A10" s="14" t="s">
        <v>50</v>
      </c>
      <c r="B10" s="14" t="n">
        <f aca="false">COUNTIF(Data!$O$2:$O$94,"Arts/Language")</f>
        <v>21</v>
      </c>
      <c r="C10" s="15" t="n">
        <f aca="false" t="array" ref="C10:C10">MEDIAN(IF(Data!$O$2:$O$94="Arts/Language",Data!$L$2:$L$94))</f>
        <v>0.54554614605</v>
      </c>
      <c r="D10" s="14" t="n">
        <f aca="false">COUNTIFS(Data!$O$2:$O$94,"Arts/Language",Data!$M$2:$M$94,"Outlier")</f>
        <v>0</v>
      </c>
      <c r="E10" s="14" t="n">
        <f aca="false">COUNTIFS(Data!$O$2:$O$94,"Arts/Language",Data!$M$2:$M$94,"Underperformer")</f>
        <v>9</v>
      </c>
    </row>
    <row r="13" customFormat="false" ht="16.15" hidden="false" customHeight="false" outlineLevel="0" collapsed="false">
      <c r="A13" s="12" t="s">
        <v>233</v>
      </c>
    </row>
    <row r="14" customFormat="false" ht="15" hidden="false" customHeight="false" outlineLevel="0" collapsed="false">
      <c r="A14" s="7" t="s">
        <v>228</v>
      </c>
      <c r="B14" s="7" t="s">
        <v>229</v>
      </c>
      <c r="C14" s="7" t="s">
        <v>230</v>
      </c>
      <c r="D14" s="7" t="s">
        <v>231</v>
      </c>
      <c r="E14" s="7" t="s">
        <v>232</v>
      </c>
    </row>
    <row r="15" customFormat="false" ht="15" hidden="false" customHeight="false" outlineLevel="0" collapsed="false">
      <c r="A15" s="14" t="s">
        <v>43</v>
      </c>
      <c r="B15" s="14" t="n">
        <f aca="false">COUNTIF(Data!$N$2:$N$94,"Question")</f>
        <v>37</v>
      </c>
      <c r="C15" s="15" t="n">
        <f aca="false" t="array" ref="C15:C15">MEDIAN(IF(Data!$N$2:$N$94="Question",Data!$L$2:$L$94))</f>
        <v>1.1129482435</v>
      </c>
      <c r="D15" s="14" t="n">
        <f aca="false">COUNTIFS(Data!$N$2:$N$94,"Question",Data!$M$2:$M$94,"Outlier")</f>
        <v>9</v>
      </c>
      <c r="E15" s="14" t="n">
        <f aca="false">COUNTIFS(Data!$N$2:$N$94,"Question",Data!$M$2:$M$94,"Underperformer")</f>
        <v>1</v>
      </c>
    </row>
    <row r="16" customFormat="false" ht="15" hidden="false" customHeight="false" outlineLevel="0" collapsed="false">
      <c r="A16" s="14" t="s">
        <v>27</v>
      </c>
      <c r="B16" s="14" t="n">
        <f aca="false">COUNTIF(Data!$N$2:$N$94,"Statement")</f>
        <v>51</v>
      </c>
      <c r="C16" s="15" t="n">
        <f aca="false" t="array" ref="C16:C16">MEDIAN(IF(Data!$N$2:$N$94="Statement",Data!$L$2:$L$94))</f>
        <v>0.9600856018</v>
      </c>
      <c r="D16" s="14" t="n">
        <f aca="false">COUNTIFS(Data!$N$2:$N$94,"Statement",Data!$M$2:$M$94,"Outlier")</f>
        <v>7</v>
      </c>
      <c r="E16" s="14" t="n">
        <f aca="false">COUNTIFS(Data!$N$2:$N$94,"Statement",Data!$M$2:$M$94,"Underperformer")</f>
        <v>11</v>
      </c>
    </row>
    <row r="17" customFormat="false" ht="15" hidden="false" customHeight="false" outlineLevel="0" collapsed="false">
      <c r="A17" s="14" t="s">
        <v>33</v>
      </c>
      <c r="B17" s="14" t="n">
        <f aca="false">COUNTIF(Data!$N$2:$N$94,"List")</f>
        <v>5</v>
      </c>
      <c r="C17" s="15" t="n">
        <f aca="false" t="array" ref="C17:C17">MEDIAN(IF(Data!$N$2:$N$94="List",Data!$L$2:$L$94))</f>
        <v>0.8538267978</v>
      </c>
      <c r="D17" s="14" t="n">
        <f aca="false">COUNTIFS(Data!$N$2:$N$94,"List",Data!$M$2:$M$94,"Outlier")</f>
        <v>2</v>
      </c>
      <c r="E17" s="14" t="n">
        <f aca="false">COUNTIFS(Data!$N$2:$N$94,"List",Data!$M$2:$M$94,"Underperformer")</f>
        <v>1</v>
      </c>
    </row>
    <row r="20" customFormat="false" ht="16.15" hidden="false" customHeight="false" outlineLevel="0" collapsed="false">
      <c r="A20" s="12" t="s">
        <v>234</v>
      </c>
    </row>
    <row r="21" customFormat="false" ht="15" hidden="false" customHeight="false" outlineLevel="0" collapsed="false">
      <c r="A21" s="7" t="s">
        <v>228</v>
      </c>
      <c r="B21" s="7" t="s">
        <v>229</v>
      </c>
      <c r="C21" s="7" t="s">
        <v>230</v>
      </c>
      <c r="D21" s="7" t="s">
        <v>231</v>
      </c>
      <c r="E21" s="7" t="s">
        <v>232</v>
      </c>
    </row>
    <row r="22" customFormat="false" ht="15" hidden="false" customHeight="false" outlineLevel="0" collapsed="false">
      <c r="A22" s="14" t="s">
        <v>35</v>
      </c>
      <c r="B22" s="14" t="n">
        <f aca="false">COUNTIF(Data!$P$2:$P$94,"Yes")</f>
        <v>34</v>
      </c>
      <c r="C22" s="15" t="n">
        <f aca="false" t="array" ref="C22:C22">MEDIAN(IF(Data!$P$2:$P$94="Yes",Data!$L$2:$L$94))</f>
        <v>1.232235519</v>
      </c>
      <c r="D22" s="14" t="n">
        <f aca="false">COUNTIFS(Data!$P$2:$P$94,"Yes",Data!$M$2:$M$94,"Outlier")</f>
        <v>14</v>
      </c>
      <c r="E22" s="14" t="n">
        <f aca="false">COUNTIFS(Data!$P$2:$P$94,"Yes",Data!$M$2:$M$94,"Underperformer")</f>
        <v>4</v>
      </c>
    </row>
    <row r="23" customFormat="false" ht="15" hidden="false" customHeight="false" outlineLevel="0" collapsed="false">
      <c r="A23" s="14" t="s">
        <v>29</v>
      </c>
      <c r="B23" s="14" t="n">
        <f aca="false">COUNTIF(Data!$P$2:$P$94,"No")</f>
        <v>59</v>
      </c>
      <c r="C23" s="15" t="n">
        <f aca="false" t="array" ref="C23:C23">MEDIAN(IF(Data!$P$2:$P$94="No",Data!$L$2:$L$94))</f>
        <v>0.8556716531</v>
      </c>
      <c r="D23" s="14" t="n">
        <f aca="false">COUNTIFS(Data!$P$2:$P$94,"No",Data!$M$2:$M$94,"Outlier")</f>
        <v>4</v>
      </c>
      <c r="E23" s="14" t="n">
        <f aca="false">COUNTIFS(Data!$P$2:$P$94,"No",Data!$M$2:$M$94,"Underperformer")</f>
        <v>9</v>
      </c>
    </row>
    <row r="26" customFormat="false" ht="16.15" hidden="false" customHeight="false" outlineLevel="0" collapsed="false">
      <c r="A26" s="12" t="s">
        <v>235</v>
      </c>
    </row>
    <row r="27" customFormat="false" ht="15" hidden="false" customHeight="false" outlineLevel="0" collapsed="false">
      <c r="A27" s="7" t="s">
        <v>228</v>
      </c>
      <c r="B27" s="7" t="s">
        <v>229</v>
      </c>
      <c r="C27" s="7" t="s">
        <v>230</v>
      </c>
      <c r="D27" s="7" t="s">
        <v>231</v>
      </c>
      <c r="E27" s="7" t="s">
        <v>232</v>
      </c>
    </row>
    <row r="28" customFormat="false" ht="15" hidden="false" customHeight="false" outlineLevel="0" collapsed="false">
      <c r="A28" s="14" t="s">
        <v>236</v>
      </c>
      <c r="B28" s="14" t="n">
        <f aca="false">COUNTIF(Data!$Q$2:$Q$94,TRUE())</f>
        <v>9</v>
      </c>
      <c r="C28" s="15" t="n">
        <f aca="false" t="array" ref="C28:C28">MEDIAN(IF(Data!$Q$2:$Q$94=TRUE(),Data!$L$2:$L$94))</f>
        <v>0.2677735104</v>
      </c>
      <c r="D28" s="14" t="n">
        <f aca="false">COUNTIFS(Data!$Q$2:$Q$94,TRUE(),Data!$M$2:$M$94,"Outlier")</f>
        <v>0</v>
      </c>
      <c r="E28" s="14" t="n">
        <f aca="false">COUNTIFS(Data!$Q$2:$Q$94,TRUE(),Data!$M$2:$M$94,"Underperformer")</f>
        <v>7</v>
      </c>
    </row>
    <row r="29" customFormat="false" ht="15" hidden="false" customHeight="false" outlineLevel="0" collapsed="false">
      <c r="A29" s="14" t="s">
        <v>237</v>
      </c>
      <c r="B29" s="14" t="n">
        <f aca="false">COUNTIF(Data!$Q$2:$Q$94,FALSE())</f>
        <v>84</v>
      </c>
      <c r="C29" s="15" t="n">
        <f aca="false" t="array" ref="C29:C29">MEDIAN(IF(Data!$Q$2:$Q$94=FALSE(),Data!$L$2:$L$94))</f>
        <v>1.05332392</v>
      </c>
      <c r="D29" s="14" t="n">
        <f aca="false">COUNTIFS(Data!$Q$2:$Q$94,FALSE(),Data!$M$2:$M$94,"Outlier")</f>
        <v>18</v>
      </c>
      <c r="E29" s="14" t="n">
        <f aca="false">COUNTIFS(Data!$Q$2:$Q$94,FALSE(),Data!$M$2:$M$94,"Underperformer")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2" t="s">
        <v>238</v>
      </c>
    </row>
    <row r="2" customFormat="false" ht="6" hidden="false" customHeight="true" outlineLevel="0" collapsed="false">
      <c r="A2" s="16"/>
    </row>
    <row r="3" customFormat="false" ht="27.75" hidden="false" customHeight="true" outlineLevel="0" collapsed="false">
      <c r="A3" s="16" t="s">
        <v>239</v>
      </c>
    </row>
    <row r="4" customFormat="false" ht="6" hidden="false" customHeight="true" outlineLevel="0" collapsed="false">
      <c r="A4" s="16"/>
    </row>
    <row r="5" customFormat="false" ht="27.75" hidden="false" customHeight="true" outlineLevel="0" collapsed="false">
      <c r="A5" s="16" t="s">
        <v>240</v>
      </c>
    </row>
    <row r="6" customFormat="false" ht="6" hidden="false" customHeight="true" outlineLevel="0" collapsed="false">
      <c r="A6" s="16"/>
    </row>
    <row r="7" customFormat="false" ht="27.75" hidden="false" customHeight="true" outlineLevel="0" collapsed="false">
      <c r="A7" s="16" t="s">
        <v>241</v>
      </c>
    </row>
    <row r="8" customFormat="false" ht="6" hidden="false" customHeight="true" outlineLevel="0" collapsed="false">
      <c r="A8" s="16"/>
    </row>
    <row r="9" customFormat="false" ht="27.75" hidden="false" customHeight="true" outlineLevel="0" collapsed="false">
      <c r="A9" s="16" t="s">
        <v>242</v>
      </c>
    </row>
    <row r="10" customFormat="false" ht="6" hidden="false" customHeight="true" outlineLevel="0" collapsed="false">
      <c r="A10" s="16"/>
    </row>
    <row r="11" customFormat="false" ht="27.75" hidden="false" customHeight="true" outlineLevel="0" collapsed="false">
      <c r="A11" s="16" t="s">
        <v>243</v>
      </c>
    </row>
    <row r="12" customFormat="false" ht="6" hidden="false" customHeight="true" outlineLevel="0" collapsed="false">
      <c r="A12" s="16"/>
    </row>
    <row r="13" customFormat="false" ht="27.75" hidden="false" customHeight="true" outlineLevel="0" collapsed="false">
      <c r="A13" s="16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2026-09-29T12:58:54Z</dcterms:created>
  <dc:creator/>
  <dc:description/>
  <dc:language>en-US</dc:language>
  <cp:lastModifiedBy/>
  <dcterms:modified xsi:type="dcterms:W3CDTF">2026-09-29T13:09:47Z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